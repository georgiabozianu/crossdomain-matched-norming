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bsu\data\Group\MLR-Lab\GB\norming2024\comp\matching\output\"/>
    </mc:Choice>
  </mc:AlternateContent>
  <bookViews>
    <workbookView xWindow="0" yWindow="0" windowWidth="28800" windowHeight="18000"/>
  </bookViews>
  <sheets>
    <sheet name="cleaned" sheetId="1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2" i="15" l="1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27" i="15"/>
  <c r="R28" i="15"/>
  <c r="R29" i="15"/>
  <c r="R30" i="15"/>
  <c r="R31" i="15"/>
  <c r="R32" i="15"/>
  <c r="R33" i="15"/>
  <c r="R34" i="15"/>
  <c r="R35" i="15"/>
  <c r="R36" i="15"/>
  <c r="R37" i="15"/>
  <c r="R38" i="15"/>
  <c r="R39" i="15"/>
  <c r="R40" i="15"/>
  <c r="R41" i="15"/>
  <c r="R42" i="15"/>
  <c r="R43" i="15"/>
  <c r="R44" i="15"/>
  <c r="R45" i="15"/>
  <c r="R46" i="15"/>
  <c r="R47" i="15"/>
  <c r="R48" i="15"/>
  <c r="R49" i="15"/>
  <c r="R50" i="15"/>
  <c r="R51" i="15"/>
  <c r="R52" i="15"/>
  <c r="R53" i="15"/>
  <c r="R54" i="15"/>
  <c r="R55" i="15"/>
  <c r="R56" i="15"/>
  <c r="R57" i="15"/>
  <c r="R58" i="15"/>
  <c r="R59" i="15"/>
  <c r="R60" i="15"/>
  <c r="R61" i="15"/>
  <c r="R62" i="15"/>
  <c r="R63" i="15"/>
  <c r="R64" i="15"/>
  <c r="R65" i="15"/>
  <c r="R66" i="15"/>
  <c r="R67" i="15"/>
  <c r="R68" i="15"/>
  <c r="R69" i="15"/>
  <c r="R70" i="15"/>
  <c r="R71" i="15"/>
  <c r="R72" i="15"/>
  <c r="R73" i="15"/>
  <c r="R74" i="15"/>
  <c r="R75" i="15"/>
  <c r="R76" i="15"/>
  <c r="R77" i="15"/>
  <c r="R78" i="15"/>
  <c r="R79" i="15"/>
  <c r="R80" i="15"/>
  <c r="R81" i="15"/>
  <c r="R82" i="15"/>
  <c r="R83" i="15"/>
  <c r="R84" i="15"/>
  <c r="R85" i="15"/>
  <c r="R86" i="15"/>
  <c r="R87" i="15"/>
  <c r="R88" i="15"/>
  <c r="R89" i="15"/>
  <c r="R90" i="15"/>
  <c r="R91" i="15"/>
  <c r="R92" i="15"/>
  <c r="R93" i="15"/>
  <c r="R94" i="15"/>
  <c r="R95" i="15"/>
  <c r="R96" i="15"/>
  <c r="R97" i="15"/>
  <c r="R98" i="15"/>
  <c r="R99" i="15"/>
  <c r="R100" i="15"/>
  <c r="R101" i="15"/>
  <c r="R102" i="15"/>
  <c r="R103" i="15"/>
  <c r="R104" i="15"/>
  <c r="R105" i="15"/>
  <c r="R106" i="15"/>
  <c r="R107" i="15"/>
  <c r="R108" i="15"/>
  <c r="R109" i="15"/>
  <c r="R110" i="15"/>
  <c r="R111" i="15"/>
  <c r="R112" i="15"/>
  <c r="R113" i="15"/>
  <c r="R114" i="15"/>
  <c r="R115" i="15"/>
  <c r="R116" i="15"/>
  <c r="R117" i="15"/>
  <c r="R118" i="15"/>
  <c r="R119" i="15"/>
  <c r="R120" i="15"/>
  <c r="R121" i="15"/>
  <c r="R122" i="15"/>
  <c r="R123" i="15"/>
  <c r="R124" i="15"/>
  <c r="R125" i="15"/>
  <c r="R126" i="15"/>
  <c r="R127" i="15"/>
  <c r="R128" i="15"/>
  <c r="R129" i="15"/>
  <c r="R130" i="15"/>
  <c r="R131" i="15"/>
  <c r="R132" i="15"/>
  <c r="R133" i="15"/>
  <c r="R134" i="15"/>
  <c r="R135" i="15"/>
  <c r="R136" i="15"/>
  <c r="R137" i="15"/>
  <c r="R138" i="15"/>
  <c r="R139" i="15"/>
  <c r="R140" i="15"/>
  <c r="R141" i="15"/>
  <c r="R142" i="15"/>
  <c r="R143" i="15"/>
  <c r="R144" i="15"/>
  <c r="R145" i="15"/>
  <c r="R146" i="15"/>
  <c r="R147" i="15"/>
  <c r="R148" i="15"/>
  <c r="R149" i="15"/>
  <c r="R150" i="15"/>
  <c r="R151" i="15"/>
  <c r="R152" i="15"/>
  <c r="R153" i="15"/>
  <c r="R154" i="15"/>
  <c r="R155" i="15"/>
  <c r="R156" i="15"/>
  <c r="R157" i="15"/>
  <c r="R158" i="15"/>
  <c r="R159" i="15"/>
  <c r="R160" i="15"/>
  <c r="R161" i="15"/>
  <c r="R162" i="15"/>
  <c r="R163" i="15"/>
  <c r="R164" i="15"/>
  <c r="R165" i="15"/>
  <c r="R166" i="15"/>
  <c r="R167" i="15"/>
  <c r="R168" i="15"/>
  <c r="R169" i="15"/>
  <c r="R170" i="15"/>
  <c r="R171" i="15"/>
  <c r="R172" i="15"/>
  <c r="R173" i="15"/>
  <c r="R174" i="15"/>
  <c r="R175" i="15"/>
  <c r="R176" i="15"/>
  <c r="R177" i="15"/>
  <c r="R178" i="15"/>
  <c r="R179" i="15"/>
  <c r="R180" i="15"/>
  <c r="R181" i="15"/>
  <c r="R182" i="15"/>
  <c r="R183" i="15"/>
  <c r="R184" i="15"/>
  <c r="R185" i="15"/>
  <c r="R186" i="15"/>
  <c r="R187" i="15"/>
  <c r="R188" i="15"/>
  <c r="R189" i="15"/>
  <c r="R190" i="15"/>
  <c r="R191" i="15"/>
  <c r="R192" i="15"/>
  <c r="R193" i="15"/>
  <c r="R194" i="15"/>
  <c r="R195" i="15"/>
  <c r="R196" i="15"/>
  <c r="R197" i="15"/>
  <c r="R198" i="15"/>
  <c r="R199" i="15"/>
  <c r="R200" i="15"/>
  <c r="R201" i="15"/>
  <c r="R202" i="15"/>
  <c r="R203" i="15"/>
  <c r="R204" i="15"/>
  <c r="R205" i="15"/>
  <c r="R206" i="15"/>
  <c r="R207" i="15"/>
  <c r="R208" i="15"/>
  <c r="R209" i="15"/>
  <c r="R210" i="15"/>
  <c r="R211" i="15"/>
  <c r="R212" i="15"/>
  <c r="R213" i="15"/>
  <c r="R214" i="15"/>
  <c r="R215" i="15"/>
  <c r="R216" i="15"/>
  <c r="R217" i="15"/>
  <c r="R218" i="15"/>
  <c r="R219" i="15"/>
  <c r="R220" i="15"/>
  <c r="R221" i="15"/>
  <c r="R222" i="15"/>
  <c r="R223" i="15"/>
  <c r="R224" i="15"/>
  <c r="R225" i="15"/>
  <c r="R226" i="15"/>
  <c r="R227" i="15"/>
  <c r="R228" i="15"/>
  <c r="R229" i="15"/>
  <c r="R230" i="15"/>
  <c r="R231" i="15"/>
  <c r="R232" i="15"/>
  <c r="R233" i="15"/>
  <c r="R234" i="15"/>
  <c r="R235" i="15"/>
  <c r="R236" i="15"/>
  <c r="R237" i="15"/>
  <c r="R238" i="15"/>
  <c r="R239" i="15"/>
  <c r="R240" i="15"/>
  <c r="R241" i="15"/>
  <c r="R242" i="15"/>
  <c r="R243" i="15"/>
  <c r="R244" i="15"/>
  <c r="R245" i="15"/>
  <c r="R246" i="15"/>
  <c r="R247" i="15"/>
  <c r="R248" i="15"/>
  <c r="R249" i="15"/>
  <c r="R250" i="15"/>
  <c r="R251" i="15"/>
  <c r="R252" i="15"/>
  <c r="R253" i="15"/>
  <c r="R254" i="15"/>
  <c r="R255" i="15"/>
  <c r="R256" i="15"/>
  <c r="R257" i="15"/>
  <c r="R258" i="15"/>
  <c r="R259" i="15"/>
  <c r="R260" i="15"/>
  <c r="R261" i="15"/>
  <c r="R262" i="15"/>
  <c r="R263" i="15"/>
  <c r="R264" i="15"/>
  <c r="R265" i="15"/>
  <c r="R266" i="15"/>
  <c r="R267" i="15"/>
  <c r="R268" i="15"/>
  <c r="R269" i="15"/>
  <c r="R270" i="15"/>
  <c r="R271" i="15"/>
  <c r="R272" i="15"/>
  <c r="R273" i="15"/>
  <c r="R274" i="15"/>
  <c r="R275" i="15"/>
  <c r="R276" i="15"/>
  <c r="R277" i="15"/>
  <c r="R278" i="15"/>
  <c r="R279" i="15"/>
  <c r="R280" i="15"/>
  <c r="R281" i="15"/>
  <c r="R282" i="15"/>
  <c r="R283" i="15"/>
  <c r="R284" i="15"/>
  <c r="R285" i="15"/>
  <c r="R286" i="15"/>
  <c r="R287" i="15"/>
  <c r="R288" i="15"/>
  <c r="R289" i="15"/>
  <c r="R290" i="15"/>
  <c r="R291" i="15"/>
  <c r="R292" i="15"/>
  <c r="R293" i="15"/>
  <c r="R294" i="15"/>
  <c r="R295" i="15"/>
  <c r="R296" i="15"/>
  <c r="R297" i="15"/>
  <c r="R298" i="15"/>
  <c r="R299" i="15"/>
  <c r="R300" i="15"/>
  <c r="R301" i="15"/>
  <c r="R302" i="15"/>
  <c r="R303" i="15"/>
  <c r="R304" i="15"/>
  <c r="R305" i="15"/>
  <c r="R306" i="15"/>
  <c r="R307" i="15"/>
  <c r="R308" i="15"/>
  <c r="R309" i="15"/>
  <c r="R310" i="15"/>
  <c r="R311" i="15"/>
  <c r="R312" i="15"/>
  <c r="R313" i="15"/>
  <c r="R314" i="15"/>
  <c r="R315" i="15"/>
  <c r="R316" i="15"/>
  <c r="R317" i="15"/>
  <c r="R318" i="15"/>
  <c r="R319" i="15"/>
  <c r="R320" i="15"/>
  <c r="R321" i="15"/>
  <c r="R322" i="15"/>
  <c r="R323" i="15"/>
  <c r="R324" i="15"/>
  <c r="R325" i="15"/>
  <c r="R326" i="15"/>
  <c r="R327" i="15"/>
  <c r="R328" i="15"/>
  <c r="R329" i="15"/>
  <c r="R330" i="15"/>
  <c r="R331" i="15"/>
  <c r="R332" i="15"/>
  <c r="R333" i="15"/>
  <c r="R334" i="15"/>
  <c r="R335" i="15"/>
  <c r="R336" i="15"/>
  <c r="R337" i="15"/>
  <c r="R338" i="15"/>
  <c r="R339" i="15"/>
  <c r="R340" i="15"/>
  <c r="R341" i="15"/>
  <c r="R342" i="15"/>
  <c r="R343" i="15"/>
  <c r="R344" i="15"/>
  <c r="R345" i="15"/>
  <c r="R346" i="15"/>
  <c r="R347" i="15"/>
  <c r="R348" i="15"/>
  <c r="R349" i="15"/>
  <c r="R350" i="15"/>
  <c r="R351" i="15"/>
  <c r="R352" i="15"/>
  <c r="R353" i="15"/>
  <c r="R354" i="15"/>
  <c r="R355" i="15"/>
  <c r="R356" i="15"/>
  <c r="R357" i="15"/>
  <c r="R358" i="15"/>
  <c r="R359" i="15"/>
  <c r="R360" i="15"/>
  <c r="R361" i="15"/>
  <c r="R362" i="15"/>
  <c r="R363" i="15"/>
  <c r="R364" i="15"/>
  <c r="R365" i="15"/>
  <c r="R366" i="15"/>
  <c r="R367" i="15"/>
  <c r="R368" i="15"/>
  <c r="R369" i="15"/>
  <c r="R370" i="15"/>
  <c r="R371" i="15"/>
  <c r="R372" i="15"/>
  <c r="R373" i="15"/>
  <c r="R374" i="15"/>
  <c r="R375" i="15"/>
  <c r="R376" i="15"/>
  <c r="R377" i="15"/>
  <c r="R378" i="15"/>
  <c r="R379" i="15"/>
  <c r="R380" i="15"/>
  <c r="R381" i="15"/>
  <c r="R382" i="15"/>
  <c r="R383" i="15"/>
  <c r="R384" i="15"/>
  <c r="R385" i="15"/>
  <c r="R386" i="15"/>
  <c r="R387" i="15"/>
  <c r="R388" i="15"/>
  <c r="R389" i="15"/>
  <c r="R390" i="15"/>
  <c r="R391" i="15"/>
  <c r="R392" i="15"/>
  <c r="R393" i="15"/>
  <c r="R394" i="15"/>
  <c r="R395" i="15"/>
  <c r="R396" i="15"/>
  <c r="R397" i="15"/>
  <c r="R398" i="15"/>
  <c r="R399" i="15"/>
  <c r="R400" i="15"/>
  <c r="R401" i="15"/>
  <c r="R402" i="15"/>
  <c r="R403" i="15"/>
  <c r="R404" i="15"/>
  <c r="R405" i="15"/>
  <c r="R406" i="15"/>
  <c r="R407" i="15"/>
  <c r="R408" i="15"/>
  <c r="R409" i="15"/>
  <c r="R410" i="15"/>
  <c r="R411" i="15"/>
  <c r="Q2" i="15"/>
  <c r="Q3" i="15"/>
  <c r="Q4" i="15"/>
  <c r="Q5" i="15"/>
  <c r="Q6" i="15"/>
  <c r="Q7" i="15"/>
  <c r="Q8" i="15"/>
  <c r="Q9" i="15"/>
  <c r="Q10" i="15"/>
  <c r="Q11" i="15"/>
  <c r="Q12" i="15"/>
  <c r="Q13" i="15"/>
  <c r="Q14" i="15"/>
  <c r="Q15" i="15"/>
  <c r="Q16" i="15"/>
  <c r="Q17" i="15"/>
  <c r="Q18" i="15"/>
  <c r="Q19" i="15"/>
  <c r="Q20" i="15"/>
  <c r="Q21" i="15"/>
  <c r="Q22" i="15"/>
  <c r="Q23" i="15"/>
  <c r="Q24" i="15"/>
  <c r="Q25" i="15"/>
  <c r="Q26" i="15"/>
  <c r="Q27" i="15"/>
  <c r="Q28" i="15"/>
  <c r="Q29" i="15"/>
  <c r="Q30" i="15"/>
  <c r="Q31" i="15"/>
  <c r="Q32" i="15"/>
  <c r="Q33" i="15"/>
  <c r="Q34" i="15"/>
  <c r="Q35" i="15"/>
  <c r="Q36" i="15"/>
  <c r="Q37" i="15"/>
  <c r="Q38" i="15"/>
  <c r="Q39" i="15"/>
  <c r="Q40" i="15"/>
  <c r="Q41" i="15"/>
  <c r="Q42" i="15"/>
  <c r="Q43" i="15"/>
  <c r="Q44" i="15"/>
  <c r="Q45" i="15"/>
  <c r="Q46" i="15"/>
  <c r="Q47" i="15"/>
  <c r="Q48" i="15"/>
  <c r="Q49" i="15"/>
  <c r="Q50" i="15"/>
  <c r="Q51" i="15"/>
  <c r="Q52" i="15"/>
  <c r="Q53" i="15"/>
  <c r="Q54" i="15"/>
  <c r="Q55" i="15"/>
  <c r="Q56" i="15"/>
  <c r="Q57" i="15"/>
  <c r="Q58" i="15"/>
  <c r="Q59" i="15"/>
  <c r="Q60" i="15"/>
  <c r="Q61" i="15"/>
  <c r="Q62" i="15"/>
  <c r="Q63" i="15"/>
  <c r="Q64" i="15"/>
  <c r="Q65" i="15"/>
  <c r="Q66" i="15"/>
  <c r="Q67" i="15"/>
  <c r="Q68" i="15"/>
  <c r="Q69" i="15"/>
  <c r="Q70" i="15"/>
  <c r="Q71" i="15"/>
  <c r="Q72" i="15"/>
  <c r="Q73" i="15"/>
  <c r="Q74" i="15"/>
  <c r="Q75" i="15"/>
  <c r="Q76" i="15"/>
  <c r="Q77" i="15"/>
  <c r="Q78" i="15"/>
  <c r="Q79" i="15"/>
  <c r="Q80" i="15"/>
  <c r="Q81" i="15"/>
  <c r="Q82" i="15"/>
  <c r="Q83" i="15"/>
  <c r="Q84" i="15"/>
  <c r="Q85" i="15"/>
  <c r="Q86" i="15"/>
  <c r="Q87" i="15"/>
  <c r="Q88" i="15"/>
  <c r="Q89" i="15"/>
  <c r="Q90" i="15"/>
  <c r="Q91" i="15"/>
  <c r="Q92" i="15"/>
  <c r="Q93" i="15"/>
  <c r="Q94" i="15"/>
  <c r="Q95" i="15"/>
  <c r="Q96" i="15"/>
  <c r="Q97" i="15"/>
  <c r="Q98" i="15"/>
  <c r="Q99" i="15"/>
  <c r="Q100" i="15"/>
  <c r="Q101" i="15"/>
  <c r="Q102" i="15"/>
  <c r="Q103" i="15"/>
  <c r="Q104" i="15"/>
  <c r="Q105" i="15"/>
  <c r="Q106" i="15"/>
  <c r="Q107" i="15"/>
  <c r="Q108" i="15"/>
  <c r="Q109" i="15"/>
  <c r="Q110" i="15"/>
  <c r="Q111" i="15"/>
  <c r="Q112" i="15"/>
  <c r="Q113" i="15"/>
  <c r="Q114" i="15"/>
  <c r="Q115" i="15"/>
  <c r="Q116" i="15"/>
  <c r="Q117" i="15"/>
  <c r="Q118" i="15"/>
  <c r="Q119" i="15"/>
  <c r="Q120" i="15"/>
  <c r="Q121" i="15"/>
  <c r="Q122" i="15"/>
  <c r="Q123" i="15"/>
  <c r="Q124" i="15"/>
  <c r="Q125" i="15"/>
  <c r="Q126" i="15"/>
  <c r="Q127" i="15"/>
  <c r="Q128" i="15"/>
  <c r="Q129" i="15"/>
  <c r="Q130" i="15"/>
  <c r="Q131" i="15"/>
  <c r="Q132" i="15"/>
  <c r="Q133" i="15"/>
  <c r="Q134" i="15"/>
  <c r="Q135" i="15"/>
  <c r="Q136" i="15"/>
  <c r="Q137" i="15"/>
  <c r="Q138" i="15"/>
  <c r="Q139" i="15"/>
  <c r="Q140" i="15"/>
  <c r="Q141" i="15"/>
  <c r="Q142" i="15"/>
  <c r="Q143" i="15"/>
  <c r="Q144" i="15"/>
  <c r="Q145" i="15"/>
  <c r="Q146" i="15"/>
  <c r="Q147" i="15"/>
  <c r="Q148" i="15"/>
  <c r="Q149" i="15"/>
  <c r="Q150" i="15"/>
  <c r="Q151" i="15"/>
  <c r="Q152" i="15"/>
  <c r="Q153" i="15"/>
  <c r="Q154" i="15"/>
  <c r="Q155" i="15"/>
  <c r="Q156" i="15"/>
  <c r="Q157" i="15"/>
  <c r="Q158" i="15"/>
  <c r="Q159" i="15"/>
  <c r="Q160" i="15"/>
  <c r="Q161" i="15"/>
  <c r="Q162" i="15"/>
  <c r="Q163" i="15"/>
  <c r="Q164" i="15"/>
  <c r="Q165" i="15"/>
  <c r="Q166" i="15"/>
  <c r="Q167" i="15"/>
  <c r="Q168" i="15"/>
  <c r="Q169" i="15"/>
  <c r="Q170" i="15"/>
  <c r="Q171" i="15"/>
  <c r="Q172" i="15"/>
  <c r="Q173" i="15"/>
  <c r="Q174" i="15"/>
  <c r="Q175" i="15"/>
  <c r="Q176" i="15"/>
  <c r="Q177" i="15"/>
  <c r="Q178" i="15"/>
  <c r="Q179" i="15"/>
  <c r="Q180" i="15"/>
  <c r="Q181" i="15"/>
  <c r="Q182" i="15"/>
  <c r="Q183" i="15"/>
  <c r="Q184" i="15"/>
  <c r="Q185" i="15"/>
  <c r="Q186" i="15"/>
  <c r="Q187" i="15"/>
  <c r="Q188" i="15"/>
  <c r="Q189" i="15"/>
  <c r="Q190" i="15"/>
  <c r="Q191" i="15"/>
  <c r="Q192" i="15"/>
  <c r="Q193" i="15"/>
  <c r="Q194" i="15"/>
  <c r="Q195" i="15"/>
  <c r="Q196" i="15"/>
  <c r="Q197" i="15"/>
  <c r="Q198" i="15"/>
  <c r="Q199" i="15"/>
  <c r="Q200" i="15"/>
  <c r="Q201" i="15"/>
  <c r="Q202" i="15"/>
  <c r="Q203" i="15"/>
  <c r="Q204" i="15"/>
  <c r="Q205" i="15"/>
  <c r="Q206" i="15"/>
  <c r="Q207" i="15"/>
  <c r="Q208" i="15"/>
  <c r="Q209" i="15"/>
  <c r="Q210" i="15"/>
  <c r="Q211" i="15"/>
  <c r="Q212" i="15"/>
  <c r="Q213" i="15"/>
  <c r="Q214" i="15"/>
  <c r="Q215" i="15"/>
  <c r="Q216" i="15"/>
  <c r="Q217" i="15"/>
  <c r="Q218" i="15"/>
  <c r="Q219" i="15"/>
  <c r="Q220" i="15"/>
  <c r="Q221" i="15"/>
  <c r="Q222" i="15"/>
  <c r="Q223" i="15"/>
  <c r="Q224" i="15"/>
  <c r="Q225" i="15"/>
  <c r="Q226" i="15"/>
  <c r="Q227" i="15"/>
  <c r="Q228" i="15"/>
  <c r="Q229" i="15"/>
  <c r="Q230" i="15"/>
  <c r="Q231" i="15"/>
  <c r="Q232" i="15"/>
  <c r="Q233" i="15"/>
  <c r="Q234" i="15"/>
  <c r="Q235" i="15"/>
  <c r="Q236" i="15"/>
  <c r="Q237" i="15"/>
  <c r="Q238" i="15"/>
  <c r="Q239" i="15"/>
  <c r="Q240" i="15"/>
  <c r="Q241" i="15"/>
  <c r="Q242" i="15"/>
  <c r="Q243" i="15"/>
  <c r="Q244" i="15"/>
  <c r="Q245" i="15"/>
  <c r="Q246" i="15"/>
  <c r="Q247" i="15"/>
  <c r="Q248" i="15"/>
  <c r="Q249" i="15"/>
  <c r="Q250" i="15"/>
  <c r="Q251" i="15"/>
  <c r="Q252" i="15"/>
  <c r="Q253" i="15"/>
  <c r="Q254" i="15"/>
  <c r="Q255" i="15"/>
  <c r="Q256" i="15"/>
  <c r="Q257" i="15"/>
  <c r="Q258" i="15"/>
  <c r="Q259" i="15"/>
  <c r="Q260" i="15"/>
  <c r="Q261" i="15"/>
  <c r="Q262" i="15"/>
  <c r="Q263" i="15"/>
  <c r="Q264" i="15"/>
  <c r="Q265" i="15"/>
  <c r="Q266" i="15"/>
  <c r="Q267" i="15"/>
  <c r="Q268" i="15"/>
  <c r="Q269" i="15"/>
  <c r="Q270" i="15"/>
  <c r="Q271" i="15"/>
  <c r="Q272" i="15"/>
  <c r="Q273" i="15"/>
  <c r="Q274" i="15"/>
  <c r="Q275" i="15"/>
  <c r="Q276" i="15"/>
  <c r="Q277" i="15"/>
  <c r="Q278" i="15"/>
  <c r="Q279" i="15"/>
  <c r="Q280" i="15"/>
  <c r="Q281" i="15"/>
  <c r="Q282" i="15"/>
  <c r="Q283" i="15"/>
  <c r="Q284" i="15"/>
  <c r="Q285" i="15"/>
  <c r="Q286" i="15"/>
  <c r="Q287" i="15"/>
  <c r="Q288" i="15"/>
  <c r="Q289" i="15"/>
  <c r="Q290" i="15"/>
  <c r="Q291" i="15"/>
  <c r="Q292" i="15"/>
  <c r="Q293" i="15"/>
  <c r="Q294" i="15"/>
  <c r="Q295" i="15"/>
  <c r="Q296" i="15"/>
  <c r="Q297" i="15"/>
  <c r="Q298" i="15"/>
  <c r="Q299" i="15"/>
  <c r="Q300" i="15"/>
  <c r="Q301" i="15"/>
  <c r="Q302" i="15"/>
  <c r="Q303" i="15"/>
  <c r="Q304" i="15"/>
  <c r="Q305" i="15"/>
  <c r="Q306" i="15"/>
  <c r="Q307" i="15"/>
  <c r="Q308" i="15"/>
  <c r="Q309" i="15"/>
  <c r="Q310" i="15"/>
  <c r="Q311" i="15"/>
  <c r="Q312" i="15"/>
  <c r="Q313" i="15"/>
  <c r="Q314" i="15"/>
  <c r="Q315" i="15"/>
  <c r="Q316" i="15"/>
  <c r="Q317" i="15"/>
  <c r="Q318" i="15"/>
  <c r="Q319" i="15"/>
  <c r="Q320" i="15"/>
  <c r="Q321" i="15"/>
  <c r="Q322" i="15"/>
  <c r="Q323" i="15"/>
  <c r="Q324" i="15"/>
  <c r="Q325" i="15"/>
  <c r="Q326" i="15"/>
  <c r="Q327" i="15"/>
  <c r="Q328" i="15"/>
  <c r="Q329" i="15"/>
  <c r="Q330" i="15"/>
  <c r="Q331" i="15"/>
  <c r="Q332" i="15"/>
  <c r="Q333" i="15"/>
  <c r="Q334" i="15"/>
  <c r="Q335" i="15"/>
  <c r="Q336" i="15"/>
  <c r="Q337" i="15"/>
  <c r="Q338" i="15"/>
  <c r="Q339" i="15"/>
  <c r="Q340" i="15"/>
  <c r="Q341" i="15"/>
  <c r="Q342" i="15"/>
  <c r="Q343" i="15"/>
  <c r="Q344" i="15"/>
  <c r="Q345" i="15"/>
  <c r="Q346" i="15"/>
  <c r="Q347" i="15"/>
  <c r="Q348" i="15"/>
  <c r="Q349" i="15"/>
  <c r="Q350" i="15"/>
  <c r="Q351" i="15"/>
  <c r="Q352" i="15"/>
  <c r="Q353" i="15"/>
  <c r="Q354" i="15"/>
  <c r="Q355" i="15"/>
  <c r="Q356" i="15"/>
  <c r="Q357" i="15"/>
  <c r="Q358" i="15"/>
  <c r="Q359" i="15"/>
  <c r="Q360" i="15"/>
  <c r="Q361" i="15"/>
  <c r="Q362" i="15"/>
  <c r="Q363" i="15"/>
  <c r="Q364" i="15"/>
  <c r="Q365" i="15"/>
  <c r="Q366" i="15"/>
  <c r="Q367" i="15"/>
  <c r="Q368" i="15"/>
  <c r="Q369" i="15"/>
  <c r="Q370" i="15"/>
  <c r="Q371" i="15"/>
  <c r="Q372" i="15"/>
  <c r="Q373" i="15"/>
  <c r="Q374" i="15"/>
  <c r="Q375" i="15"/>
  <c r="Q376" i="15"/>
  <c r="Q377" i="15"/>
  <c r="Q378" i="15"/>
  <c r="Q379" i="15"/>
  <c r="Q380" i="15"/>
  <c r="Q381" i="15"/>
  <c r="Q382" i="15"/>
  <c r="Q383" i="15"/>
  <c r="Q384" i="15"/>
  <c r="Q385" i="15"/>
  <c r="Q386" i="15"/>
  <c r="Q387" i="15"/>
  <c r="Q388" i="15"/>
  <c r="Q389" i="15"/>
  <c r="Q390" i="15"/>
  <c r="Q391" i="15"/>
  <c r="Q392" i="15"/>
  <c r="Q393" i="15"/>
  <c r="Q394" i="15"/>
  <c r="Q395" i="15"/>
  <c r="Q396" i="15"/>
  <c r="Q397" i="15"/>
  <c r="Q398" i="15"/>
  <c r="Q399" i="15"/>
  <c r="Q400" i="15"/>
  <c r="Q401" i="15"/>
  <c r="Q402" i="15"/>
  <c r="Q403" i="15"/>
  <c r="Q404" i="15"/>
  <c r="Q405" i="15"/>
  <c r="Q406" i="15"/>
  <c r="Q407" i="15"/>
  <c r="Q408" i="15"/>
  <c r="Q409" i="15"/>
  <c r="Q410" i="15"/>
  <c r="Q411" i="15"/>
  <c r="P2" i="15"/>
  <c r="P3" i="15"/>
  <c r="P4" i="15"/>
  <c r="P5" i="15"/>
  <c r="P6" i="15"/>
  <c r="P7" i="15"/>
  <c r="P8" i="15"/>
  <c r="P9" i="15"/>
  <c r="P10" i="15"/>
  <c r="P11" i="15"/>
  <c r="P12" i="15"/>
  <c r="P13" i="15"/>
  <c r="P14" i="15"/>
  <c r="P15" i="15"/>
  <c r="P16" i="15"/>
  <c r="P17" i="15"/>
  <c r="P18" i="15"/>
  <c r="P19" i="15"/>
  <c r="P20" i="15"/>
  <c r="P21" i="15"/>
  <c r="P22" i="15"/>
  <c r="P23" i="15"/>
  <c r="P24" i="15"/>
  <c r="P25" i="15"/>
  <c r="P26" i="15"/>
  <c r="P27" i="15"/>
  <c r="P28" i="15"/>
  <c r="P29" i="15"/>
  <c r="P30" i="15"/>
  <c r="P31" i="15"/>
  <c r="P32" i="15"/>
  <c r="P33" i="15"/>
  <c r="P34" i="15"/>
  <c r="P35" i="15"/>
  <c r="P36" i="15"/>
  <c r="P37" i="15"/>
  <c r="P38" i="15"/>
  <c r="P39" i="15"/>
  <c r="P40" i="15"/>
  <c r="P41" i="15"/>
  <c r="P42" i="15"/>
  <c r="P43" i="15"/>
  <c r="P44" i="15"/>
  <c r="P45" i="15"/>
  <c r="P46" i="15"/>
  <c r="P47" i="15"/>
  <c r="P48" i="15"/>
  <c r="P49" i="15"/>
  <c r="P50" i="15"/>
  <c r="P51" i="15"/>
  <c r="P52" i="15"/>
  <c r="P53" i="15"/>
  <c r="P54" i="15"/>
  <c r="P55" i="15"/>
  <c r="P56" i="15"/>
  <c r="P57" i="15"/>
  <c r="P58" i="15"/>
  <c r="P59" i="15"/>
  <c r="P60" i="15"/>
  <c r="P61" i="15"/>
  <c r="P62" i="15"/>
  <c r="P63" i="15"/>
  <c r="P64" i="15"/>
  <c r="P65" i="15"/>
  <c r="P66" i="15"/>
  <c r="P67" i="15"/>
  <c r="P68" i="15"/>
  <c r="P69" i="15"/>
  <c r="P70" i="15"/>
  <c r="P71" i="15"/>
  <c r="P72" i="15"/>
  <c r="P73" i="15"/>
  <c r="P74" i="15"/>
  <c r="P75" i="15"/>
  <c r="P76" i="15"/>
  <c r="P77" i="15"/>
  <c r="P78" i="15"/>
  <c r="P79" i="15"/>
  <c r="P80" i="15"/>
  <c r="P81" i="15"/>
  <c r="P82" i="15"/>
  <c r="P83" i="15"/>
  <c r="P84" i="15"/>
  <c r="P85" i="15"/>
  <c r="P86" i="15"/>
  <c r="P87" i="15"/>
  <c r="P88" i="15"/>
  <c r="P89" i="15"/>
  <c r="P90" i="15"/>
  <c r="P91" i="15"/>
  <c r="P92" i="15"/>
  <c r="P93" i="15"/>
  <c r="P94" i="15"/>
  <c r="P95" i="15"/>
  <c r="P96" i="15"/>
  <c r="P97" i="15"/>
  <c r="P98" i="15"/>
  <c r="P99" i="15"/>
  <c r="P100" i="15"/>
  <c r="P101" i="15"/>
  <c r="P102" i="15"/>
  <c r="P103" i="15"/>
  <c r="P104" i="15"/>
  <c r="P105" i="15"/>
  <c r="P106" i="15"/>
  <c r="P107" i="15"/>
  <c r="P108" i="15"/>
  <c r="P109" i="15"/>
  <c r="P110" i="15"/>
  <c r="P111" i="15"/>
  <c r="P112" i="15"/>
  <c r="P113" i="15"/>
  <c r="P114" i="15"/>
  <c r="P115" i="15"/>
  <c r="P116" i="15"/>
  <c r="P117" i="15"/>
  <c r="P118" i="15"/>
  <c r="P119" i="15"/>
  <c r="P120" i="15"/>
  <c r="P121" i="15"/>
  <c r="P122" i="15"/>
  <c r="P123" i="15"/>
  <c r="P124" i="15"/>
  <c r="P125" i="15"/>
  <c r="P126" i="15"/>
  <c r="P127" i="15"/>
  <c r="P128" i="15"/>
  <c r="P129" i="15"/>
  <c r="P130" i="15"/>
  <c r="P131" i="15"/>
  <c r="P132" i="15"/>
  <c r="P133" i="15"/>
  <c r="P134" i="15"/>
  <c r="P135" i="15"/>
  <c r="P136" i="15"/>
  <c r="P137" i="15"/>
  <c r="P138" i="15"/>
  <c r="P139" i="15"/>
  <c r="P140" i="15"/>
  <c r="P141" i="15"/>
  <c r="P142" i="15"/>
  <c r="P143" i="15"/>
  <c r="P144" i="15"/>
  <c r="P145" i="15"/>
  <c r="P146" i="15"/>
  <c r="P147" i="15"/>
  <c r="P148" i="15"/>
  <c r="P149" i="15"/>
  <c r="P150" i="15"/>
  <c r="P151" i="15"/>
  <c r="P152" i="15"/>
  <c r="P153" i="15"/>
  <c r="P154" i="15"/>
  <c r="P155" i="15"/>
  <c r="P156" i="15"/>
  <c r="P157" i="15"/>
  <c r="P158" i="15"/>
  <c r="P159" i="15"/>
  <c r="P160" i="15"/>
  <c r="P161" i="15"/>
  <c r="P162" i="15"/>
  <c r="P163" i="15"/>
  <c r="P164" i="15"/>
  <c r="P165" i="15"/>
  <c r="P166" i="15"/>
  <c r="P167" i="15"/>
  <c r="P168" i="15"/>
  <c r="P169" i="15"/>
  <c r="P170" i="15"/>
  <c r="P171" i="15"/>
  <c r="P172" i="15"/>
  <c r="P173" i="15"/>
  <c r="P174" i="15"/>
  <c r="P175" i="15"/>
  <c r="P176" i="15"/>
  <c r="P177" i="15"/>
  <c r="P178" i="15"/>
  <c r="P179" i="15"/>
  <c r="P180" i="15"/>
  <c r="P181" i="15"/>
  <c r="P182" i="15"/>
  <c r="P183" i="15"/>
  <c r="P184" i="15"/>
  <c r="P185" i="15"/>
  <c r="P186" i="15"/>
  <c r="P187" i="15"/>
  <c r="P188" i="15"/>
  <c r="P189" i="15"/>
  <c r="P190" i="15"/>
  <c r="P191" i="15"/>
  <c r="P192" i="15"/>
  <c r="P193" i="15"/>
  <c r="P194" i="15"/>
  <c r="P195" i="15"/>
  <c r="P196" i="15"/>
  <c r="P197" i="15"/>
  <c r="P198" i="15"/>
  <c r="P199" i="15"/>
  <c r="P200" i="15"/>
  <c r="P201" i="15"/>
  <c r="P202" i="15"/>
  <c r="P203" i="15"/>
  <c r="P204" i="15"/>
  <c r="P205" i="15"/>
  <c r="P206" i="15"/>
  <c r="P207" i="15"/>
  <c r="P208" i="15"/>
  <c r="P209" i="15"/>
  <c r="P210" i="15"/>
  <c r="P211" i="15"/>
  <c r="P212" i="15"/>
  <c r="P213" i="15"/>
  <c r="P214" i="15"/>
  <c r="P215" i="15"/>
  <c r="P216" i="15"/>
  <c r="P217" i="15"/>
  <c r="P218" i="15"/>
  <c r="P219" i="15"/>
  <c r="P220" i="15"/>
  <c r="P221" i="15"/>
  <c r="P222" i="15"/>
  <c r="P223" i="15"/>
  <c r="P224" i="15"/>
  <c r="P225" i="15"/>
  <c r="P226" i="15"/>
  <c r="P227" i="15"/>
  <c r="P228" i="15"/>
  <c r="P229" i="15"/>
  <c r="P230" i="15"/>
  <c r="P231" i="15"/>
  <c r="P232" i="15"/>
  <c r="P233" i="15"/>
  <c r="P234" i="15"/>
  <c r="P235" i="15"/>
  <c r="P236" i="15"/>
  <c r="P237" i="15"/>
  <c r="P238" i="15"/>
  <c r="P239" i="15"/>
  <c r="P240" i="15"/>
  <c r="P241" i="15"/>
  <c r="P242" i="15"/>
  <c r="P243" i="15"/>
  <c r="P244" i="15"/>
  <c r="P245" i="15"/>
  <c r="P246" i="15"/>
  <c r="P247" i="15"/>
  <c r="P248" i="15"/>
  <c r="P249" i="15"/>
  <c r="P250" i="15"/>
  <c r="P251" i="15"/>
  <c r="P252" i="15"/>
  <c r="P253" i="15"/>
  <c r="P254" i="15"/>
  <c r="P255" i="15"/>
  <c r="P256" i="15"/>
  <c r="P257" i="15"/>
  <c r="P258" i="15"/>
  <c r="P259" i="15"/>
  <c r="P260" i="15"/>
  <c r="P261" i="15"/>
  <c r="P262" i="15"/>
  <c r="P263" i="15"/>
  <c r="P264" i="15"/>
  <c r="P265" i="15"/>
  <c r="P266" i="15"/>
  <c r="P267" i="15"/>
  <c r="P268" i="15"/>
  <c r="P269" i="15"/>
  <c r="P270" i="15"/>
  <c r="P271" i="15"/>
  <c r="P272" i="15"/>
  <c r="P273" i="15"/>
  <c r="P274" i="15"/>
  <c r="P275" i="15"/>
  <c r="P276" i="15"/>
  <c r="P277" i="15"/>
  <c r="P278" i="15"/>
  <c r="P279" i="15"/>
  <c r="P280" i="15"/>
  <c r="P281" i="15"/>
  <c r="P282" i="15"/>
  <c r="P283" i="15"/>
  <c r="P284" i="15"/>
  <c r="P285" i="15"/>
  <c r="P286" i="15"/>
  <c r="P287" i="15"/>
  <c r="P288" i="15"/>
  <c r="P289" i="15"/>
  <c r="P290" i="15"/>
  <c r="P291" i="15"/>
  <c r="P292" i="15"/>
  <c r="P293" i="15"/>
  <c r="P294" i="15"/>
  <c r="P295" i="15"/>
  <c r="P296" i="15"/>
  <c r="P297" i="15"/>
  <c r="P298" i="15"/>
  <c r="P299" i="15"/>
  <c r="P300" i="15"/>
  <c r="P301" i="15"/>
  <c r="P302" i="15"/>
  <c r="P303" i="15"/>
  <c r="P304" i="15"/>
  <c r="P305" i="15"/>
  <c r="P306" i="15"/>
  <c r="P307" i="15"/>
  <c r="P308" i="15"/>
  <c r="P309" i="15"/>
  <c r="P310" i="15"/>
  <c r="P311" i="15"/>
  <c r="P312" i="15"/>
  <c r="P313" i="15"/>
  <c r="P314" i="15"/>
  <c r="P315" i="15"/>
  <c r="P316" i="15"/>
  <c r="P317" i="15"/>
  <c r="P318" i="15"/>
  <c r="P319" i="15"/>
  <c r="P320" i="15"/>
  <c r="P321" i="15"/>
  <c r="P322" i="15"/>
  <c r="P323" i="15"/>
  <c r="P324" i="15"/>
  <c r="P325" i="15"/>
  <c r="P326" i="15"/>
  <c r="P327" i="15"/>
  <c r="P328" i="15"/>
  <c r="P329" i="15"/>
  <c r="P330" i="15"/>
  <c r="P331" i="15"/>
  <c r="P332" i="15"/>
  <c r="P333" i="15"/>
  <c r="P334" i="15"/>
  <c r="P335" i="15"/>
  <c r="P336" i="15"/>
  <c r="P337" i="15"/>
  <c r="P338" i="15"/>
  <c r="P339" i="15"/>
  <c r="P340" i="15"/>
  <c r="P341" i="15"/>
  <c r="P342" i="15"/>
  <c r="P343" i="15"/>
  <c r="P344" i="15"/>
  <c r="P345" i="15"/>
  <c r="P346" i="15"/>
  <c r="P347" i="15"/>
  <c r="P348" i="15"/>
  <c r="P349" i="15"/>
  <c r="P350" i="15"/>
  <c r="P351" i="15"/>
  <c r="P352" i="15"/>
  <c r="P353" i="15"/>
  <c r="P354" i="15"/>
  <c r="P355" i="15"/>
  <c r="P356" i="15"/>
  <c r="P357" i="15"/>
  <c r="P358" i="15"/>
  <c r="P359" i="15"/>
  <c r="P360" i="15"/>
  <c r="P361" i="15"/>
  <c r="P362" i="15"/>
  <c r="P363" i="15"/>
  <c r="P364" i="15"/>
  <c r="P365" i="15"/>
  <c r="P366" i="15"/>
  <c r="P367" i="15"/>
  <c r="P368" i="15"/>
  <c r="P369" i="15"/>
  <c r="P370" i="15"/>
  <c r="P371" i="15"/>
  <c r="P372" i="15"/>
  <c r="P373" i="15"/>
  <c r="P374" i="15"/>
  <c r="P375" i="15"/>
  <c r="P376" i="15"/>
  <c r="P377" i="15"/>
  <c r="P378" i="15"/>
  <c r="P379" i="15"/>
  <c r="P380" i="15"/>
  <c r="P381" i="15"/>
  <c r="P382" i="15"/>
  <c r="P383" i="15"/>
  <c r="P384" i="15"/>
  <c r="P385" i="15"/>
  <c r="P386" i="15"/>
  <c r="P387" i="15"/>
  <c r="P388" i="15"/>
  <c r="P389" i="15"/>
  <c r="P390" i="15"/>
  <c r="P391" i="15"/>
  <c r="P392" i="15"/>
  <c r="P393" i="15"/>
  <c r="P394" i="15"/>
  <c r="P395" i="15"/>
  <c r="P396" i="15"/>
  <c r="P397" i="15"/>
  <c r="P398" i="15"/>
  <c r="P399" i="15"/>
  <c r="P400" i="15"/>
  <c r="P401" i="15"/>
  <c r="P402" i="15"/>
  <c r="P403" i="15"/>
  <c r="P404" i="15"/>
  <c r="P405" i="15"/>
  <c r="P406" i="15"/>
  <c r="P407" i="15"/>
  <c r="P408" i="15"/>
  <c r="P409" i="15"/>
  <c r="P410" i="15"/>
  <c r="P411" i="15"/>
  <c r="N2" i="15" l="1"/>
  <c r="M2" i="15"/>
  <c r="L2" i="15"/>
  <c r="K2" i="15"/>
  <c r="N3" i="15"/>
  <c r="M3" i="15"/>
  <c r="L3" i="15"/>
  <c r="K3" i="15"/>
  <c r="N6" i="15"/>
  <c r="M6" i="15"/>
  <c r="L6" i="15"/>
  <c r="K6" i="15"/>
  <c r="N8" i="15"/>
  <c r="M8" i="15"/>
  <c r="L8" i="15"/>
  <c r="K8" i="15"/>
  <c r="N16" i="15"/>
  <c r="M16" i="15"/>
  <c r="L16" i="15"/>
  <c r="K16" i="15"/>
  <c r="N5" i="15"/>
  <c r="M5" i="15"/>
  <c r="L5" i="15"/>
  <c r="K5" i="15"/>
  <c r="N7" i="15"/>
  <c r="M7" i="15"/>
  <c r="L7" i="15"/>
  <c r="K7" i="15"/>
  <c r="N4" i="15"/>
  <c r="M4" i="15"/>
  <c r="L4" i="15"/>
  <c r="K4" i="15"/>
  <c r="N12" i="15"/>
  <c r="M12" i="15"/>
  <c r="L12" i="15"/>
  <c r="K12" i="15"/>
  <c r="N18" i="15"/>
  <c r="M18" i="15"/>
  <c r="L18" i="15"/>
  <c r="K18" i="15"/>
  <c r="N10" i="15"/>
  <c r="M10" i="15"/>
  <c r="L10" i="15"/>
  <c r="K10" i="15"/>
  <c r="N14" i="15"/>
  <c r="M14" i="15"/>
  <c r="L14" i="15"/>
  <c r="K14" i="15"/>
  <c r="N11" i="15"/>
  <c r="M11" i="15"/>
  <c r="L11" i="15"/>
  <c r="K11" i="15"/>
  <c r="N9" i="15"/>
  <c r="M9" i="15"/>
  <c r="L9" i="15"/>
  <c r="K9" i="15"/>
  <c r="N15" i="15"/>
  <c r="M15" i="15"/>
  <c r="L15" i="15"/>
  <c r="K15" i="15"/>
  <c r="N37" i="15"/>
  <c r="M37" i="15"/>
  <c r="L37" i="15"/>
  <c r="K37" i="15"/>
  <c r="N19" i="15"/>
  <c r="M19" i="15"/>
  <c r="L19" i="15"/>
  <c r="K19" i="15"/>
  <c r="N20" i="15"/>
  <c r="M20" i="15"/>
  <c r="L20" i="15"/>
  <c r="K20" i="15"/>
  <c r="N31" i="15"/>
  <c r="M31" i="15"/>
  <c r="L31" i="15"/>
  <c r="K31" i="15"/>
  <c r="N30" i="15"/>
  <c r="M30" i="15"/>
  <c r="L30" i="15"/>
  <c r="K30" i="15"/>
  <c r="N13" i="15"/>
  <c r="M13" i="15"/>
  <c r="L13" i="15"/>
  <c r="K13" i="15"/>
  <c r="N21" i="15"/>
  <c r="M21" i="15"/>
  <c r="L21" i="15"/>
  <c r="K21" i="15"/>
  <c r="N23" i="15"/>
  <c r="M23" i="15"/>
  <c r="L23" i="15"/>
  <c r="K23" i="15"/>
  <c r="N26" i="15"/>
  <c r="M26" i="15"/>
  <c r="L26" i="15"/>
  <c r="K26" i="15"/>
  <c r="N46" i="15"/>
  <c r="M46" i="15"/>
  <c r="L46" i="15"/>
  <c r="K46" i="15"/>
  <c r="N40" i="15"/>
  <c r="M40" i="15"/>
  <c r="L40" i="15"/>
  <c r="K40" i="15"/>
  <c r="N33" i="15"/>
  <c r="M33" i="15"/>
  <c r="L33" i="15"/>
  <c r="K33" i="15"/>
  <c r="N64" i="15"/>
  <c r="M64" i="15"/>
  <c r="L64" i="15"/>
  <c r="K64" i="15"/>
  <c r="N17" i="15"/>
  <c r="M17" i="15"/>
  <c r="L17" i="15"/>
  <c r="K17" i="15"/>
  <c r="N42" i="15"/>
  <c r="M42" i="15"/>
  <c r="L42" i="15"/>
  <c r="K42" i="15"/>
  <c r="N22" i="15"/>
  <c r="M22" i="15"/>
  <c r="L22" i="15"/>
  <c r="K22" i="15"/>
  <c r="N25" i="15"/>
  <c r="M25" i="15"/>
  <c r="L25" i="15"/>
  <c r="K25" i="15"/>
  <c r="N32" i="15"/>
  <c r="M32" i="15"/>
  <c r="L32" i="15"/>
  <c r="K32" i="15"/>
  <c r="N51" i="15"/>
  <c r="M51" i="15"/>
  <c r="L51" i="15"/>
  <c r="K51" i="15"/>
  <c r="N24" i="15"/>
  <c r="M24" i="15"/>
  <c r="L24" i="15"/>
  <c r="K24" i="15"/>
  <c r="N47" i="15"/>
  <c r="M47" i="15"/>
  <c r="L47" i="15"/>
  <c r="K47" i="15"/>
  <c r="N45" i="15"/>
  <c r="M45" i="15"/>
  <c r="L45" i="15"/>
  <c r="K45" i="15"/>
  <c r="N52" i="15"/>
  <c r="M52" i="15"/>
  <c r="L52" i="15"/>
  <c r="K52" i="15"/>
  <c r="N54" i="15"/>
  <c r="M54" i="15"/>
  <c r="L54" i="15"/>
  <c r="K54" i="15"/>
  <c r="N29" i="15"/>
  <c r="M29" i="15"/>
  <c r="L29" i="15"/>
  <c r="K29" i="15"/>
  <c r="N69" i="15"/>
  <c r="M69" i="15"/>
  <c r="L69" i="15"/>
  <c r="K69" i="15"/>
  <c r="N48" i="15"/>
  <c r="M48" i="15"/>
  <c r="L48" i="15"/>
  <c r="K48" i="15"/>
  <c r="N67" i="15"/>
  <c r="M67" i="15"/>
  <c r="L67" i="15"/>
  <c r="K67" i="15"/>
  <c r="N38" i="15"/>
  <c r="M38" i="15"/>
  <c r="L38" i="15"/>
  <c r="K38" i="15"/>
  <c r="N34" i="15"/>
  <c r="M34" i="15"/>
  <c r="L34" i="15"/>
  <c r="K34" i="15"/>
  <c r="N61" i="15"/>
  <c r="M61" i="15"/>
  <c r="L61" i="15"/>
  <c r="K61" i="15"/>
  <c r="N63" i="15"/>
  <c r="M63" i="15"/>
  <c r="L63" i="15"/>
  <c r="K63" i="15"/>
  <c r="N65" i="15"/>
  <c r="M65" i="15"/>
  <c r="L65" i="15"/>
  <c r="K65" i="15"/>
  <c r="N58" i="15"/>
  <c r="M58" i="15"/>
  <c r="L58" i="15"/>
  <c r="K58" i="15"/>
  <c r="N70" i="15"/>
  <c r="M70" i="15"/>
  <c r="L70" i="15"/>
  <c r="K70" i="15"/>
  <c r="N55" i="15"/>
  <c r="M55" i="15"/>
  <c r="L55" i="15"/>
  <c r="K55" i="15"/>
  <c r="N59" i="15"/>
  <c r="M59" i="15"/>
  <c r="L59" i="15"/>
  <c r="K59" i="15"/>
  <c r="N71" i="15"/>
  <c r="M71" i="15"/>
  <c r="L71" i="15"/>
  <c r="K71" i="15"/>
  <c r="N36" i="15"/>
  <c r="M36" i="15"/>
  <c r="L36" i="15"/>
  <c r="K36" i="15"/>
  <c r="N62" i="15"/>
  <c r="M62" i="15"/>
  <c r="L62" i="15"/>
  <c r="K62" i="15"/>
  <c r="N41" i="15"/>
  <c r="M41" i="15"/>
  <c r="L41" i="15"/>
  <c r="K41" i="15"/>
  <c r="N50" i="15"/>
  <c r="M50" i="15"/>
  <c r="L50" i="15"/>
  <c r="K50" i="15"/>
  <c r="N60" i="15"/>
  <c r="M60" i="15"/>
  <c r="L60" i="15"/>
  <c r="K60" i="15"/>
  <c r="N43" i="15"/>
  <c r="M43" i="15"/>
  <c r="L43" i="15"/>
  <c r="K43" i="15"/>
  <c r="N76" i="15"/>
  <c r="M76" i="15"/>
  <c r="L76" i="15"/>
  <c r="K76" i="15"/>
  <c r="N39" i="15"/>
  <c r="M39" i="15"/>
  <c r="L39" i="15"/>
  <c r="K39" i="15"/>
  <c r="N27" i="15"/>
  <c r="M27" i="15"/>
  <c r="L27" i="15"/>
  <c r="K27" i="15"/>
  <c r="N28" i="15"/>
  <c r="M28" i="15"/>
  <c r="L28" i="15"/>
  <c r="K28" i="15"/>
  <c r="N53" i="15"/>
  <c r="M53" i="15"/>
  <c r="L53" i="15"/>
  <c r="K53" i="15"/>
  <c r="N66" i="15"/>
  <c r="M66" i="15"/>
  <c r="L66" i="15"/>
  <c r="K66" i="15"/>
  <c r="N35" i="15"/>
  <c r="M35" i="15"/>
  <c r="L35" i="15"/>
  <c r="K35" i="15"/>
  <c r="N68" i="15"/>
  <c r="M68" i="15"/>
  <c r="L68" i="15"/>
  <c r="K68" i="15"/>
  <c r="N85" i="15"/>
  <c r="M85" i="15"/>
  <c r="L85" i="15"/>
  <c r="K85" i="15"/>
  <c r="N83" i="15"/>
  <c r="M83" i="15"/>
  <c r="L83" i="15"/>
  <c r="K83" i="15"/>
  <c r="N73" i="15"/>
  <c r="M73" i="15"/>
  <c r="L73" i="15"/>
  <c r="K73" i="15"/>
  <c r="N79" i="15"/>
  <c r="M79" i="15"/>
  <c r="L79" i="15"/>
  <c r="K79" i="15"/>
  <c r="N72" i="15"/>
  <c r="M72" i="15"/>
  <c r="L72" i="15"/>
  <c r="K72" i="15"/>
  <c r="N84" i="15"/>
  <c r="M84" i="15"/>
  <c r="L84" i="15"/>
  <c r="K84" i="15"/>
  <c r="N44" i="15"/>
  <c r="M44" i="15"/>
  <c r="L44" i="15"/>
  <c r="K44" i="15"/>
  <c r="N82" i="15"/>
  <c r="M82" i="15"/>
  <c r="L82" i="15"/>
  <c r="K82" i="15"/>
  <c r="N49" i="15"/>
  <c r="M49" i="15"/>
  <c r="L49" i="15"/>
  <c r="K49" i="15"/>
  <c r="N57" i="15"/>
  <c r="M57" i="15"/>
  <c r="L57" i="15"/>
  <c r="K57" i="15"/>
  <c r="N88" i="15"/>
  <c r="M88" i="15"/>
  <c r="L88" i="15"/>
  <c r="K88" i="15"/>
  <c r="N77" i="15"/>
  <c r="M77" i="15"/>
  <c r="L77" i="15"/>
  <c r="K77" i="15"/>
  <c r="N56" i="15"/>
  <c r="M56" i="15"/>
  <c r="L56" i="15"/>
  <c r="K56" i="15"/>
  <c r="N92" i="15"/>
  <c r="M92" i="15"/>
  <c r="L92" i="15"/>
  <c r="K92" i="15"/>
  <c r="N86" i="15"/>
  <c r="M86" i="15"/>
  <c r="L86" i="15"/>
  <c r="K86" i="15"/>
  <c r="N81" i="15"/>
  <c r="M81" i="15"/>
  <c r="L81" i="15"/>
  <c r="K81" i="15"/>
  <c r="N74" i="15"/>
  <c r="M74" i="15"/>
  <c r="L74" i="15"/>
  <c r="K74" i="15"/>
  <c r="N78" i="15"/>
  <c r="M78" i="15"/>
  <c r="L78" i="15"/>
  <c r="K78" i="15"/>
  <c r="N80" i="15"/>
  <c r="M80" i="15"/>
  <c r="L80" i="15"/>
  <c r="K80" i="15"/>
  <c r="N96" i="15"/>
  <c r="M96" i="15"/>
  <c r="L96" i="15"/>
  <c r="K96" i="15"/>
  <c r="N90" i="15"/>
  <c r="M90" i="15"/>
  <c r="L90" i="15"/>
  <c r="K90" i="15"/>
  <c r="N75" i="15"/>
  <c r="M75" i="15"/>
  <c r="L75" i="15"/>
  <c r="K75" i="15"/>
  <c r="N87" i="15"/>
  <c r="M87" i="15"/>
  <c r="L87" i="15"/>
  <c r="K87" i="15"/>
  <c r="N104" i="15"/>
  <c r="M104" i="15"/>
  <c r="L104" i="15"/>
  <c r="K104" i="15"/>
  <c r="N97" i="15"/>
  <c r="M97" i="15"/>
  <c r="L97" i="15"/>
  <c r="K97" i="15"/>
  <c r="N98" i="15"/>
  <c r="M98" i="15"/>
  <c r="L98" i="15"/>
  <c r="K98" i="15"/>
  <c r="N100" i="15"/>
  <c r="M100" i="15"/>
  <c r="L100" i="15"/>
  <c r="K100" i="15"/>
  <c r="N93" i="15"/>
  <c r="M93" i="15"/>
  <c r="L93" i="15"/>
  <c r="K93" i="15"/>
  <c r="N109" i="15"/>
  <c r="M109" i="15"/>
  <c r="L109" i="15"/>
  <c r="K109" i="15"/>
  <c r="N112" i="15"/>
  <c r="M112" i="15"/>
  <c r="L112" i="15"/>
  <c r="K112" i="15"/>
  <c r="N99" i="15"/>
  <c r="M99" i="15"/>
  <c r="L99" i="15"/>
  <c r="K99" i="15"/>
  <c r="N89" i="15"/>
  <c r="M89" i="15"/>
  <c r="L89" i="15"/>
  <c r="K89" i="15"/>
  <c r="N103" i="15"/>
  <c r="M103" i="15"/>
  <c r="L103" i="15"/>
  <c r="K103" i="15"/>
  <c r="N119" i="15"/>
  <c r="M119" i="15"/>
  <c r="L119" i="15"/>
  <c r="K119" i="15"/>
  <c r="N107" i="15"/>
  <c r="M107" i="15"/>
  <c r="L107" i="15"/>
  <c r="K107" i="15"/>
  <c r="N95" i="15"/>
  <c r="M95" i="15"/>
  <c r="L95" i="15"/>
  <c r="K95" i="15"/>
  <c r="N113" i="15"/>
  <c r="M113" i="15"/>
  <c r="L113" i="15"/>
  <c r="K113" i="15"/>
  <c r="N94" i="15"/>
  <c r="M94" i="15"/>
  <c r="L94" i="15"/>
  <c r="K94" i="15"/>
  <c r="N91" i="15"/>
  <c r="M91" i="15"/>
  <c r="L91" i="15"/>
  <c r="K91" i="15"/>
  <c r="N101" i="15"/>
  <c r="M101" i="15"/>
  <c r="L101" i="15"/>
  <c r="K101" i="15"/>
  <c r="N108" i="15"/>
  <c r="M108" i="15"/>
  <c r="L108" i="15"/>
  <c r="K108" i="15"/>
  <c r="N102" i="15"/>
  <c r="M102" i="15"/>
  <c r="L102" i="15"/>
  <c r="K102" i="15"/>
  <c r="N129" i="15"/>
  <c r="M129" i="15"/>
  <c r="L129" i="15"/>
  <c r="K129" i="15"/>
  <c r="N123" i="15"/>
  <c r="M123" i="15"/>
  <c r="L123" i="15"/>
  <c r="K123" i="15"/>
  <c r="N110" i="15"/>
  <c r="M110" i="15"/>
  <c r="L110" i="15"/>
  <c r="K110" i="15"/>
  <c r="N121" i="15"/>
  <c r="M121" i="15"/>
  <c r="L121" i="15"/>
  <c r="K121" i="15"/>
  <c r="N125" i="15"/>
  <c r="M125" i="15"/>
  <c r="L125" i="15"/>
  <c r="K125" i="15"/>
  <c r="N131" i="15"/>
  <c r="M131" i="15"/>
  <c r="L131" i="15"/>
  <c r="K131" i="15"/>
  <c r="N114" i="15"/>
  <c r="M114" i="15"/>
  <c r="L114" i="15"/>
  <c r="K114" i="15"/>
  <c r="N146" i="15"/>
  <c r="M146" i="15"/>
  <c r="L146" i="15"/>
  <c r="K146" i="15"/>
  <c r="N115" i="15"/>
  <c r="M115" i="15"/>
  <c r="L115" i="15"/>
  <c r="K115" i="15"/>
  <c r="N117" i="15"/>
  <c r="M117" i="15"/>
  <c r="L117" i="15"/>
  <c r="K117" i="15"/>
  <c r="N116" i="15"/>
  <c r="M116" i="15"/>
  <c r="L116" i="15"/>
  <c r="K116" i="15"/>
  <c r="N165" i="15"/>
  <c r="M165" i="15"/>
  <c r="L165" i="15"/>
  <c r="K165" i="15"/>
  <c r="N160" i="15"/>
  <c r="M160" i="15"/>
  <c r="L160" i="15"/>
  <c r="K160" i="15"/>
  <c r="N130" i="15"/>
  <c r="M130" i="15"/>
  <c r="L130" i="15"/>
  <c r="K130" i="15"/>
  <c r="N161" i="15"/>
  <c r="M161" i="15"/>
  <c r="L161" i="15"/>
  <c r="K161" i="15"/>
  <c r="N124" i="15"/>
  <c r="M124" i="15"/>
  <c r="L124" i="15"/>
  <c r="K124" i="15"/>
  <c r="N122" i="15"/>
  <c r="M122" i="15"/>
  <c r="L122" i="15"/>
  <c r="K122" i="15"/>
  <c r="N128" i="15"/>
  <c r="M128" i="15"/>
  <c r="L128" i="15"/>
  <c r="K128" i="15"/>
  <c r="N118" i="15"/>
  <c r="M118" i="15"/>
  <c r="L118" i="15"/>
  <c r="K118" i="15"/>
  <c r="N140" i="15"/>
  <c r="M140" i="15"/>
  <c r="L140" i="15"/>
  <c r="K140" i="15"/>
  <c r="N105" i="15"/>
  <c r="M105" i="15"/>
  <c r="L105" i="15"/>
  <c r="K105" i="15"/>
  <c r="N143" i="15"/>
  <c r="M143" i="15"/>
  <c r="L143" i="15"/>
  <c r="K143" i="15"/>
  <c r="N106" i="15"/>
  <c r="M106" i="15"/>
  <c r="L106" i="15"/>
  <c r="K106" i="15"/>
  <c r="N127" i="15"/>
  <c r="M127" i="15"/>
  <c r="L127" i="15"/>
  <c r="K127" i="15"/>
  <c r="N139" i="15"/>
  <c r="M139" i="15"/>
  <c r="L139" i="15"/>
  <c r="K139" i="15"/>
  <c r="N111" i="15"/>
  <c r="M111" i="15"/>
  <c r="L111" i="15"/>
  <c r="K111" i="15"/>
  <c r="N120" i="15"/>
  <c r="M120" i="15"/>
  <c r="L120" i="15"/>
  <c r="K120" i="15"/>
  <c r="N153" i="15"/>
  <c r="M153" i="15"/>
  <c r="L153" i="15"/>
  <c r="K153" i="15"/>
  <c r="N159" i="15"/>
  <c r="M159" i="15"/>
  <c r="L159" i="15"/>
  <c r="K159" i="15"/>
  <c r="N144" i="15"/>
  <c r="M144" i="15"/>
  <c r="L144" i="15"/>
  <c r="K144" i="15"/>
  <c r="N149" i="15"/>
  <c r="M149" i="15"/>
  <c r="L149" i="15"/>
  <c r="K149" i="15"/>
  <c r="N151" i="15"/>
  <c r="M151" i="15"/>
  <c r="L151" i="15"/>
  <c r="K151" i="15"/>
  <c r="N133" i="15"/>
  <c r="M133" i="15"/>
  <c r="L133" i="15"/>
  <c r="K133" i="15"/>
  <c r="N141" i="15"/>
  <c r="M141" i="15"/>
  <c r="L141" i="15"/>
  <c r="K141" i="15"/>
  <c r="N126" i="15"/>
  <c r="M126" i="15"/>
  <c r="L126" i="15"/>
  <c r="K126" i="15"/>
  <c r="N135" i="15"/>
  <c r="M135" i="15"/>
  <c r="L135" i="15"/>
  <c r="K135" i="15"/>
  <c r="N136" i="15"/>
  <c r="M136" i="15"/>
  <c r="L136" i="15"/>
  <c r="K136" i="15"/>
  <c r="N150" i="15"/>
  <c r="M150" i="15"/>
  <c r="L150" i="15"/>
  <c r="K150" i="15"/>
  <c r="N145" i="15"/>
  <c r="M145" i="15"/>
  <c r="L145" i="15"/>
  <c r="K145" i="15"/>
  <c r="N142" i="15"/>
  <c r="M142" i="15"/>
  <c r="L142" i="15"/>
  <c r="K142" i="15"/>
  <c r="N152" i="15"/>
  <c r="M152" i="15"/>
  <c r="L152" i="15"/>
  <c r="K152" i="15"/>
  <c r="N132" i="15"/>
  <c r="M132" i="15"/>
  <c r="L132" i="15"/>
  <c r="K132" i="15"/>
  <c r="N148" i="15"/>
  <c r="M148" i="15"/>
  <c r="L148" i="15"/>
  <c r="K148" i="15"/>
  <c r="N157" i="15"/>
  <c r="M157" i="15"/>
  <c r="L157" i="15"/>
  <c r="K157" i="15"/>
  <c r="N174" i="15"/>
  <c r="M174" i="15"/>
  <c r="L174" i="15"/>
  <c r="K174" i="15"/>
  <c r="N166" i="15"/>
  <c r="M166" i="15"/>
  <c r="L166" i="15"/>
  <c r="K166" i="15"/>
  <c r="N171" i="15"/>
  <c r="M171" i="15"/>
  <c r="L171" i="15"/>
  <c r="K171" i="15"/>
  <c r="N181" i="15"/>
  <c r="M181" i="15"/>
  <c r="L181" i="15"/>
  <c r="K181" i="15"/>
  <c r="N163" i="15"/>
  <c r="M163" i="15"/>
  <c r="L163" i="15"/>
  <c r="K163" i="15"/>
  <c r="N137" i="15"/>
  <c r="M137" i="15"/>
  <c r="L137" i="15"/>
  <c r="K137" i="15"/>
  <c r="N177" i="15"/>
  <c r="M177" i="15"/>
  <c r="L177" i="15"/>
  <c r="K177" i="15"/>
  <c r="N179" i="15"/>
  <c r="M179" i="15"/>
  <c r="L179" i="15"/>
  <c r="K179" i="15"/>
  <c r="N167" i="15"/>
  <c r="M167" i="15"/>
  <c r="L167" i="15"/>
  <c r="K167" i="15"/>
  <c r="N134" i="15"/>
  <c r="M134" i="15"/>
  <c r="L134" i="15"/>
  <c r="K134" i="15"/>
  <c r="N155" i="15"/>
  <c r="M155" i="15"/>
  <c r="L155" i="15"/>
  <c r="K155" i="15"/>
  <c r="N175" i="15"/>
  <c r="M175" i="15"/>
  <c r="L175" i="15"/>
  <c r="K175" i="15"/>
  <c r="N172" i="15"/>
  <c r="M172" i="15"/>
  <c r="L172" i="15"/>
  <c r="K172" i="15"/>
  <c r="N170" i="15"/>
  <c r="M170" i="15"/>
  <c r="L170" i="15"/>
  <c r="K170" i="15"/>
  <c r="N186" i="15"/>
  <c r="M186" i="15"/>
  <c r="L186" i="15"/>
  <c r="K186" i="15"/>
  <c r="N187" i="15"/>
  <c r="M187" i="15"/>
  <c r="L187" i="15"/>
  <c r="K187" i="15"/>
  <c r="N189" i="15"/>
  <c r="M189" i="15"/>
  <c r="L189" i="15"/>
  <c r="K189" i="15"/>
  <c r="N164" i="15"/>
  <c r="M164" i="15"/>
  <c r="L164" i="15"/>
  <c r="K164" i="15"/>
  <c r="N169" i="15"/>
  <c r="M169" i="15"/>
  <c r="L169" i="15"/>
  <c r="K169" i="15"/>
  <c r="N196" i="15"/>
  <c r="M196" i="15"/>
  <c r="L196" i="15"/>
  <c r="K196" i="15"/>
  <c r="N182" i="15"/>
  <c r="M182" i="15"/>
  <c r="L182" i="15"/>
  <c r="K182" i="15"/>
  <c r="N156" i="15"/>
  <c r="M156" i="15"/>
  <c r="L156" i="15"/>
  <c r="K156" i="15"/>
  <c r="N180" i="15"/>
  <c r="M180" i="15"/>
  <c r="L180" i="15"/>
  <c r="K180" i="15"/>
  <c r="N183" i="15"/>
  <c r="M183" i="15"/>
  <c r="L183" i="15"/>
  <c r="K183" i="15"/>
  <c r="N138" i="15"/>
  <c r="M138" i="15"/>
  <c r="L138" i="15"/>
  <c r="K138" i="15"/>
  <c r="N176" i="15"/>
  <c r="M176" i="15"/>
  <c r="L176" i="15"/>
  <c r="K176" i="15"/>
  <c r="N192" i="15"/>
  <c r="M192" i="15"/>
  <c r="L192" i="15"/>
  <c r="K192" i="15"/>
  <c r="N173" i="15"/>
  <c r="M173" i="15"/>
  <c r="L173" i="15"/>
  <c r="K173" i="15"/>
  <c r="N198" i="15"/>
  <c r="M198" i="15"/>
  <c r="L198" i="15"/>
  <c r="K198" i="15"/>
  <c r="N154" i="15"/>
  <c r="M154" i="15"/>
  <c r="L154" i="15"/>
  <c r="K154" i="15"/>
  <c r="N162" i="15"/>
  <c r="M162" i="15"/>
  <c r="L162" i="15"/>
  <c r="K162" i="15"/>
  <c r="N193" i="15"/>
  <c r="M193" i="15"/>
  <c r="L193" i="15"/>
  <c r="K193" i="15"/>
  <c r="N200" i="15"/>
  <c r="M200" i="15"/>
  <c r="L200" i="15"/>
  <c r="K200" i="15"/>
  <c r="N185" i="15"/>
  <c r="M185" i="15"/>
  <c r="L185" i="15"/>
  <c r="K185" i="15"/>
  <c r="N184" i="15"/>
  <c r="M184" i="15"/>
  <c r="L184" i="15"/>
  <c r="K184" i="15"/>
  <c r="N158" i="15"/>
  <c r="M158" i="15"/>
  <c r="L158" i="15"/>
  <c r="K158" i="15"/>
  <c r="N168" i="15"/>
  <c r="M168" i="15"/>
  <c r="L168" i="15"/>
  <c r="K168" i="15"/>
  <c r="N147" i="15"/>
  <c r="M147" i="15"/>
  <c r="L147" i="15"/>
  <c r="K147" i="15"/>
  <c r="N190" i="15"/>
  <c r="M190" i="15"/>
  <c r="L190" i="15"/>
  <c r="K190" i="15"/>
  <c r="N191" i="15"/>
  <c r="M191" i="15"/>
  <c r="L191" i="15"/>
  <c r="K191" i="15"/>
  <c r="N210" i="15"/>
  <c r="M210" i="15"/>
  <c r="L210" i="15"/>
  <c r="K210" i="15"/>
  <c r="N203" i="15"/>
  <c r="M203" i="15"/>
  <c r="L203" i="15"/>
  <c r="K203" i="15"/>
  <c r="N206" i="15"/>
  <c r="M206" i="15"/>
  <c r="L206" i="15"/>
  <c r="K206" i="15"/>
  <c r="N204" i="15"/>
  <c r="M204" i="15"/>
  <c r="L204" i="15"/>
  <c r="K204" i="15"/>
  <c r="N208" i="15"/>
  <c r="M208" i="15"/>
  <c r="L208" i="15"/>
  <c r="K208" i="15"/>
  <c r="N178" i="15"/>
  <c r="M178" i="15"/>
  <c r="L178" i="15"/>
  <c r="K178" i="15"/>
  <c r="N194" i="15"/>
  <c r="M194" i="15"/>
  <c r="L194" i="15"/>
  <c r="K194" i="15"/>
  <c r="N209" i="15"/>
  <c r="M209" i="15"/>
  <c r="L209" i="15"/>
  <c r="K209" i="15"/>
  <c r="N205" i="15"/>
  <c r="M205" i="15"/>
  <c r="L205" i="15"/>
  <c r="K205" i="15"/>
  <c r="N199" i="15"/>
  <c r="M199" i="15"/>
  <c r="L199" i="15"/>
  <c r="K199" i="15"/>
  <c r="N211" i="15"/>
  <c r="M211" i="15"/>
  <c r="L211" i="15"/>
  <c r="K211" i="15"/>
  <c r="N188" i="15"/>
  <c r="M188" i="15"/>
  <c r="L188" i="15"/>
  <c r="K188" i="15"/>
  <c r="N197" i="15"/>
  <c r="M197" i="15"/>
  <c r="L197" i="15"/>
  <c r="K197" i="15"/>
  <c r="N228" i="15"/>
  <c r="M228" i="15"/>
  <c r="L228" i="15"/>
  <c r="K228" i="15"/>
  <c r="N215" i="15"/>
  <c r="M215" i="15"/>
  <c r="L215" i="15"/>
  <c r="K215" i="15"/>
  <c r="N219" i="15"/>
  <c r="M219" i="15"/>
  <c r="L219" i="15"/>
  <c r="K219" i="15"/>
  <c r="N216" i="15"/>
  <c r="M216" i="15"/>
  <c r="L216" i="15"/>
  <c r="K216" i="15"/>
  <c r="N217" i="15"/>
  <c r="M217" i="15"/>
  <c r="L217" i="15"/>
  <c r="K217" i="15"/>
  <c r="N195" i="15"/>
  <c r="M195" i="15"/>
  <c r="L195" i="15"/>
  <c r="K195" i="15"/>
  <c r="N212" i="15"/>
  <c r="M212" i="15"/>
  <c r="L212" i="15"/>
  <c r="K212" i="15"/>
  <c r="N225" i="15"/>
  <c r="M225" i="15"/>
  <c r="L225" i="15"/>
  <c r="K225" i="15"/>
  <c r="N202" i="15"/>
  <c r="M202" i="15"/>
  <c r="L202" i="15"/>
  <c r="K202" i="15"/>
  <c r="N222" i="15"/>
  <c r="M222" i="15"/>
  <c r="L222" i="15"/>
  <c r="K222" i="15"/>
  <c r="N207" i="15"/>
  <c r="M207" i="15"/>
  <c r="L207" i="15"/>
  <c r="K207" i="15"/>
  <c r="N214" i="15"/>
  <c r="M214" i="15"/>
  <c r="L214" i="15"/>
  <c r="K214" i="15"/>
  <c r="N226" i="15"/>
  <c r="M226" i="15"/>
  <c r="L226" i="15"/>
  <c r="K226" i="15"/>
  <c r="N201" i="15"/>
  <c r="M201" i="15"/>
  <c r="L201" i="15"/>
  <c r="K201" i="15"/>
  <c r="N229" i="15"/>
  <c r="M229" i="15"/>
  <c r="L229" i="15"/>
  <c r="K229" i="15"/>
  <c r="N218" i="15"/>
  <c r="M218" i="15"/>
  <c r="L218" i="15"/>
  <c r="K218" i="15"/>
  <c r="N213" i="15"/>
  <c r="M213" i="15"/>
  <c r="L213" i="15"/>
  <c r="K213" i="15"/>
  <c r="N224" i="15"/>
  <c r="M224" i="15"/>
  <c r="L224" i="15"/>
  <c r="K224" i="15"/>
  <c r="N223" i="15"/>
  <c r="M223" i="15"/>
  <c r="L223" i="15"/>
  <c r="K223" i="15"/>
  <c r="N221" i="15"/>
  <c r="M221" i="15"/>
  <c r="L221" i="15"/>
  <c r="K221" i="15"/>
  <c r="N233" i="15"/>
  <c r="M233" i="15"/>
  <c r="L233" i="15"/>
  <c r="K233" i="15"/>
  <c r="N231" i="15"/>
  <c r="M231" i="15"/>
  <c r="L231" i="15"/>
  <c r="K231" i="15"/>
  <c r="N240" i="15"/>
  <c r="M240" i="15"/>
  <c r="L240" i="15"/>
  <c r="K240" i="15"/>
  <c r="N245" i="15"/>
  <c r="M245" i="15"/>
  <c r="L245" i="15"/>
  <c r="K245" i="15"/>
  <c r="N232" i="15"/>
  <c r="M232" i="15"/>
  <c r="L232" i="15"/>
  <c r="K232" i="15"/>
  <c r="N238" i="15"/>
  <c r="M238" i="15"/>
  <c r="L238" i="15"/>
  <c r="K238" i="15"/>
  <c r="N260" i="15"/>
  <c r="M260" i="15"/>
  <c r="L260" i="15"/>
  <c r="K260" i="15"/>
  <c r="N237" i="15"/>
  <c r="M237" i="15"/>
  <c r="L237" i="15"/>
  <c r="K237" i="15"/>
  <c r="N249" i="15"/>
  <c r="M249" i="15"/>
  <c r="L249" i="15"/>
  <c r="K249" i="15"/>
  <c r="N251" i="15"/>
  <c r="M251" i="15"/>
  <c r="L251" i="15"/>
  <c r="K251" i="15"/>
  <c r="N250" i="15"/>
  <c r="M250" i="15"/>
  <c r="L250" i="15"/>
  <c r="K250" i="15"/>
  <c r="N236" i="15"/>
  <c r="M236" i="15"/>
  <c r="L236" i="15"/>
  <c r="K236" i="15"/>
  <c r="N243" i="15"/>
  <c r="M243" i="15"/>
  <c r="L243" i="15"/>
  <c r="K243" i="15"/>
  <c r="N220" i="15"/>
  <c r="M220" i="15"/>
  <c r="L220" i="15"/>
  <c r="K220" i="15"/>
  <c r="N230" i="15"/>
  <c r="M230" i="15"/>
  <c r="L230" i="15"/>
  <c r="K230" i="15"/>
  <c r="N252" i="15"/>
  <c r="M252" i="15"/>
  <c r="L252" i="15"/>
  <c r="K252" i="15"/>
  <c r="N244" i="15"/>
  <c r="M244" i="15"/>
  <c r="L244" i="15"/>
  <c r="K244" i="15"/>
  <c r="N241" i="15"/>
  <c r="M241" i="15"/>
  <c r="L241" i="15"/>
  <c r="K241" i="15"/>
  <c r="N242" i="15"/>
  <c r="M242" i="15"/>
  <c r="L242" i="15"/>
  <c r="K242" i="15"/>
  <c r="N248" i="15"/>
  <c r="M248" i="15"/>
  <c r="L248" i="15"/>
  <c r="K248" i="15"/>
  <c r="N256" i="15"/>
  <c r="M256" i="15"/>
  <c r="L256" i="15"/>
  <c r="K256" i="15"/>
  <c r="N247" i="15"/>
  <c r="M247" i="15"/>
  <c r="L247" i="15"/>
  <c r="K247" i="15"/>
  <c r="N253" i="15"/>
  <c r="M253" i="15"/>
  <c r="L253" i="15"/>
  <c r="K253" i="15"/>
  <c r="N270" i="15"/>
  <c r="M270" i="15"/>
  <c r="L270" i="15"/>
  <c r="K270" i="15"/>
  <c r="N267" i="15"/>
  <c r="M267" i="15"/>
  <c r="L267" i="15"/>
  <c r="K267" i="15"/>
  <c r="N234" i="15"/>
  <c r="M234" i="15"/>
  <c r="L234" i="15"/>
  <c r="K234" i="15"/>
  <c r="N239" i="15"/>
  <c r="M239" i="15"/>
  <c r="L239" i="15"/>
  <c r="K239" i="15"/>
  <c r="N227" i="15"/>
  <c r="M227" i="15"/>
  <c r="L227" i="15"/>
  <c r="K227" i="15"/>
  <c r="N276" i="15"/>
  <c r="M276" i="15"/>
  <c r="L276" i="15"/>
  <c r="K276" i="15"/>
  <c r="N265" i="15"/>
  <c r="M265" i="15"/>
  <c r="L265" i="15"/>
  <c r="K265" i="15"/>
  <c r="N257" i="15"/>
  <c r="M257" i="15"/>
  <c r="L257" i="15"/>
  <c r="K257" i="15"/>
  <c r="N268" i="15"/>
  <c r="M268" i="15"/>
  <c r="L268" i="15"/>
  <c r="K268" i="15"/>
  <c r="N262" i="15"/>
  <c r="M262" i="15"/>
  <c r="L262" i="15"/>
  <c r="K262" i="15"/>
  <c r="N246" i="15"/>
  <c r="M246" i="15"/>
  <c r="L246" i="15"/>
  <c r="K246" i="15"/>
  <c r="N271" i="15"/>
  <c r="M271" i="15"/>
  <c r="L271" i="15"/>
  <c r="K271" i="15"/>
  <c r="N259" i="15"/>
  <c r="M259" i="15"/>
  <c r="L259" i="15"/>
  <c r="K259" i="15"/>
  <c r="N263" i="15"/>
  <c r="M263" i="15"/>
  <c r="L263" i="15"/>
  <c r="K263" i="15"/>
  <c r="N277" i="15"/>
  <c r="M277" i="15"/>
  <c r="L277" i="15"/>
  <c r="K277" i="15"/>
  <c r="N261" i="15"/>
  <c r="M261" i="15"/>
  <c r="L261" i="15"/>
  <c r="K261" i="15"/>
  <c r="N272" i="15"/>
  <c r="M272" i="15"/>
  <c r="L272" i="15"/>
  <c r="K272" i="15"/>
  <c r="N254" i="15"/>
  <c r="M254" i="15"/>
  <c r="L254" i="15"/>
  <c r="K254" i="15"/>
  <c r="N275" i="15"/>
  <c r="M275" i="15"/>
  <c r="L275" i="15"/>
  <c r="K275" i="15"/>
  <c r="N264" i="15"/>
  <c r="M264" i="15"/>
  <c r="L264" i="15"/>
  <c r="K264" i="15"/>
  <c r="N235" i="15"/>
  <c r="M235" i="15"/>
  <c r="L235" i="15"/>
  <c r="K235" i="15"/>
  <c r="N255" i="15"/>
  <c r="M255" i="15"/>
  <c r="L255" i="15"/>
  <c r="K255" i="15"/>
  <c r="N258" i="15"/>
  <c r="M258" i="15"/>
  <c r="L258" i="15"/>
  <c r="K258" i="15"/>
  <c r="N273" i="15"/>
  <c r="M273" i="15"/>
  <c r="L273" i="15"/>
  <c r="K273" i="15"/>
  <c r="N286" i="15"/>
  <c r="M286" i="15"/>
  <c r="L286" i="15"/>
  <c r="K286" i="15"/>
  <c r="N285" i="15"/>
  <c r="M285" i="15"/>
  <c r="L285" i="15"/>
  <c r="K285" i="15"/>
  <c r="N266" i="15"/>
  <c r="M266" i="15"/>
  <c r="L266" i="15"/>
  <c r="K266" i="15"/>
  <c r="N284" i="15"/>
  <c r="M284" i="15"/>
  <c r="L284" i="15"/>
  <c r="K284" i="15"/>
  <c r="N279" i="15"/>
  <c r="M279" i="15"/>
  <c r="L279" i="15"/>
  <c r="K279" i="15"/>
  <c r="N274" i="15"/>
  <c r="M274" i="15"/>
  <c r="L274" i="15"/>
  <c r="K274" i="15"/>
  <c r="N281" i="15"/>
  <c r="M281" i="15"/>
  <c r="L281" i="15"/>
  <c r="K281" i="15"/>
  <c r="N289" i="15"/>
  <c r="M289" i="15"/>
  <c r="L289" i="15"/>
  <c r="K289" i="15"/>
  <c r="N290" i="15"/>
  <c r="M290" i="15"/>
  <c r="L290" i="15"/>
  <c r="K290" i="15"/>
  <c r="N269" i="15"/>
  <c r="M269" i="15"/>
  <c r="L269" i="15"/>
  <c r="K269" i="15"/>
  <c r="N283" i="15"/>
  <c r="M283" i="15"/>
  <c r="L283" i="15"/>
  <c r="K283" i="15"/>
  <c r="N278" i="15"/>
  <c r="M278" i="15"/>
  <c r="L278" i="15"/>
  <c r="K278" i="15"/>
  <c r="N287" i="15"/>
  <c r="M287" i="15"/>
  <c r="L287" i="15"/>
  <c r="K287" i="15"/>
  <c r="N288" i="15"/>
  <c r="M288" i="15"/>
  <c r="L288" i="15"/>
  <c r="K288" i="15"/>
  <c r="N292" i="15"/>
  <c r="M292" i="15"/>
  <c r="L292" i="15"/>
  <c r="K292" i="15"/>
  <c r="N294" i="15"/>
  <c r="M294" i="15"/>
  <c r="L294" i="15"/>
  <c r="K294" i="15"/>
  <c r="N296" i="15"/>
  <c r="M296" i="15"/>
  <c r="L296" i="15"/>
  <c r="K296" i="15"/>
  <c r="N293" i="15"/>
  <c r="M293" i="15"/>
  <c r="L293" i="15"/>
  <c r="K293" i="15"/>
  <c r="N300" i="15"/>
  <c r="M300" i="15"/>
  <c r="L300" i="15"/>
  <c r="K300" i="15"/>
  <c r="N297" i="15"/>
  <c r="M297" i="15"/>
  <c r="L297" i="15"/>
  <c r="K297" i="15"/>
  <c r="N306" i="15"/>
  <c r="M306" i="15"/>
  <c r="L306" i="15"/>
  <c r="K306" i="15"/>
  <c r="N302" i="15"/>
  <c r="M302" i="15"/>
  <c r="L302" i="15"/>
  <c r="K302" i="15"/>
  <c r="N309" i="15"/>
  <c r="M309" i="15"/>
  <c r="L309" i="15"/>
  <c r="K309" i="15"/>
  <c r="N295" i="15"/>
  <c r="M295" i="15"/>
  <c r="L295" i="15"/>
  <c r="K295" i="15"/>
  <c r="N298" i="15"/>
  <c r="M298" i="15"/>
  <c r="L298" i="15"/>
  <c r="K298" i="15"/>
  <c r="N291" i="15"/>
  <c r="M291" i="15"/>
  <c r="L291" i="15"/>
  <c r="K291" i="15"/>
  <c r="N305" i="15"/>
  <c r="M305" i="15"/>
  <c r="L305" i="15"/>
  <c r="K305" i="15"/>
  <c r="N280" i="15"/>
  <c r="M280" i="15"/>
  <c r="L280" i="15"/>
  <c r="K280" i="15"/>
  <c r="N307" i="15"/>
  <c r="M307" i="15"/>
  <c r="L307" i="15"/>
  <c r="K307" i="15"/>
  <c r="N304" i="15"/>
  <c r="M304" i="15"/>
  <c r="L304" i="15"/>
  <c r="K304" i="15"/>
  <c r="N317" i="15"/>
  <c r="M317" i="15"/>
  <c r="L317" i="15"/>
  <c r="K317" i="15"/>
  <c r="N282" i="15"/>
  <c r="M282" i="15"/>
  <c r="L282" i="15"/>
  <c r="K282" i="15"/>
  <c r="N301" i="15"/>
  <c r="M301" i="15"/>
  <c r="L301" i="15"/>
  <c r="K301" i="15"/>
  <c r="N316" i="15"/>
  <c r="M316" i="15"/>
  <c r="L316" i="15"/>
  <c r="K316" i="15"/>
  <c r="N311" i="15"/>
  <c r="M311" i="15"/>
  <c r="L311" i="15"/>
  <c r="K311" i="15"/>
  <c r="N310" i="15"/>
  <c r="M310" i="15"/>
  <c r="L310" i="15"/>
  <c r="K310" i="15"/>
  <c r="N308" i="15"/>
  <c r="M308" i="15"/>
  <c r="L308" i="15"/>
  <c r="K308" i="15"/>
  <c r="N318" i="15"/>
  <c r="M318" i="15"/>
  <c r="L318" i="15"/>
  <c r="K318" i="15"/>
  <c r="N324" i="15"/>
  <c r="M324" i="15"/>
  <c r="L324" i="15"/>
  <c r="K324" i="15"/>
  <c r="N303" i="15"/>
  <c r="M303" i="15"/>
  <c r="L303" i="15"/>
  <c r="K303" i="15"/>
  <c r="N319" i="15"/>
  <c r="M319" i="15"/>
  <c r="L319" i="15"/>
  <c r="K319" i="15"/>
  <c r="N322" i="15"/>
  <c r="M322" i="15"/>
  <c r="L322" i="15"/>
  <c r="K322" i="15"/>
  <c r="N313" i="15"/>
  <c r="M313" i="15"/>
  <c r="L313" i="15"/>
  <c r="K313" i="15"/>
  <c r="N327" i="15"/>
  <c r="M327" i="15"/>
  <c r="L327" i="15"/>
  <c r="K327" i="15"/>
  <c r="N321" i="15"/>
  <c r="M321" i="15"/>
  <c r="L321" i="15"/>
  <c r="K321" i="15"/>
  <c r="N314" i="15"/>
  <c r="M314" i="15"/>
  <c r="L314" i="15"/>
  <c r="K314" i="15"/>
  <c r="N320" i="15"/>
  <c r="M320" i="15"/>
  <c r="L320" i="15"/>
  <c r="K320" i="15"/>
  <c r="N299" i="15"/>
  <c r="M299" i="15"/>
  <c r="L299" i="15"/>
  <c r="K299" i="15"/>
  <c r="N323" i="15"/>
  <c r="M323" i="15"/>
  <c r="L323" i="15"/>
  <c r="K323" i="15"/>
  <c r="N312" i="15"/>
  <c r="M312" i="15"/>
  <c r="L312" i="15"/>
  <c r="K312" i="15"/>
  <c r="N315" i="15"/>
  <c r="M315" i="15"/>
  <c r="L315" i="15"/>
  <c r="K315" i="15"/>
  <c r="N330" i="15"/>
  <c r="M330" i="15"/>
  <c r="L330" i="15"/>
  <c r="K330" i="15"/>
  <c r="N325" i="15"/>
  <c r="M325" i="15"/>
  <c r="L325" i="15"/>
  <c r="K325" i="15"/>
  <c r="N328" i="15"/>
  <c r="M328" i="15"/>
  <c r="L328" i="15"/>
  <c r="K328" i="15"/>
  <c r="N333" i="15"/>
  <c r="M333" i="15"/>
  <c r="L333" i="15"/>
  <c r="K333" i="15"/>
  <c r="N326" i="15"/>
  <c r="M326" i="15"/>
  <c r="L326" i="15"/>
  <c r="K326" i="15"/>
  <c r="N337" i="15"/>
  <c r="M337" i="15"/>
  <c r="L337" i="15"/>
  <c r="K337" i="15"/>
  <c r="N329" i="15"/>
  <c r="M329" i="15"/>
  <c r="L329" i="15"/>
  <c r="K329" i="15"/>
  <c r="N335" i="15"/>
  <c r="M335" i="15"/>
  <c r="L335" i="15"/>
  <c r="K335" i="15"/>
  <c r="N334" i="15"/>
  <c r="M334" i="15"/>
  <c r="L334" i="15"/>
  <c r="K334" i="15"/>
  <c r="N336" i="15"/>
  <c r="M336" i="15"/>
  <c r="L336" i="15"/>
  <c r="K336" i="15"/>
  <c r="N343" i="15"/>
  <c r="M343" i="15"/>
  <c r="L343" i="15"/>
  <c r="K343" i="15"/>
  <c r="N341" i="15"/>
  <c r="M341" i="15"/>
  <c r="L341" i="15"/>
  <c r="K341" i="15"/>
  <c r="N332" i="15"/>
  <c r="M332" i="15"/>
  <c r="L332" i="15"/>
  <c r="K332" i="15"/>
  <c r="N345" i="15"/>
  <c r="M345" i="15"/>
  <c r="L345" i="15"/>
  <c r="K345" i="15"/>
  <c r="N339" i="15"/>
  <c r="M339" i="15"/>
  <c r="L339" i="15"/>
  <c r="K339" i="15"/>
  <c r="N331" i="15"/>
  <c r="M331" i="15"/>
  <c r="L331" i="15"/>
  <c r="K331" i="15"/>
  <c r="N340" i="15"/>
  <c r="M340" i="15"/>
  <c r="L340" i="15"/>
  <c r="K340" i="15"/>
  <c r="N347" i="15"/>
  <c r="M347" i="15"/>
  <c r="L347" i="15"/>
  <c r="K347" i="15"/>
  <c r="N344" i="15"/>
  <c r="M344" i="15"/>
  <c r="L344" i="15"/>
  <c r="K344" i="15"/>
  <c r="N342" i="15"/>
  <c r="M342" i="15"/>
  <c r="L342" i="15"/>
  <c r="K342" i="15"/>
  <c r="N349" i="15"/>
  <c r="M349" i="15"/>
  <c r="L349" i="15"/>
  <c r="K349" i="15"/>
  <c r="N338" i="15"/>
  <c r="M338" i="15"/>
  <c r="L338" i="15"/>
  <c r="K338" i="15"/>
  <c r="N346" i="15"/>
  <c r="M346" i="15"/>
  <c r="L346" i="15"/>
  <c r="K346" i="15"/>
  <c r="N359" i="15"/>
  <c r="M359" i="15"/>
  <c r="L359" i="15"/>
  <c r="K359" i="15"/>
  <c r="N353" i="15"/>
  <c r="M353" i="15"/>
  <c r="L353" i="15"/>
  <c r="K353" i="15"/>
  <c r="N350" i="15"/>
  <c r="M350" i="15"/>
  <c r="L350" i="15"/>
  <c r="K350" i="15"/>
  <c r="N356" i="15"/>
  <c r="M356" i="15"/>
  <c r="L356" i="15"/>
  <c r="K356" i="15"/>
  <c r="N351" i="15"/>
  <c r="M351" i="15"/>
  <c r="L351" i="15"/>
  <c r="K351" i="15"/>
  <c r="N352" i="15"/>
  <c r="M352" i="15"/>
  <c r="L352" i="15"/>
  <c r="K352" i="15"/>
  <c r="N358" i="15"/>
  <c r="M358" i="15"/>
  <c r="L358" i="15"/>
  <c r="K358" i="15"/>
  <c r="N354" i="15"/>
  <c r="M354" i="15"/>
  <c r="L354" i="15"/>
  <c r="K354" i="15"/>
  <c r="N362" i="15"/>
  <c r="M362" i="15"/>
  <c r="L362" i="15"/>
  <c r="K362" i="15"/>
  <c r="N355" i="15"/>
  <c r="M355" i="15"/>
  <c r="L355" i="15"/>
  <c r="K355" i="15"/>
  <c r="N360" i="15"/>
  <c r="M360" i="15"/>
  <c r="L360" i="15"/>
  <c r="K360" i="15"/>
  <c r="N366" i="15"/>
  <c r="M366" i="15"/>
  <c r="L366" i="15"/>
  <c r="K366" i="15"/>
  <c r="N348" i="15"/>
  <c r="M348" i="15"/>
  <c r="L348" i="15"/>
  <c r="K348" i="15"/>
  <c r="N365" i="15"/>
  <c r="M365" i="15"/>
  <c r="L365" i="15"/>
  <c r="K365" i="15"/>
  <c r="N363" i="15"/>
  <c r="M363" i="15"/>
  <c r="L363" i="15"/>
  <c r="K363" i="15"/>
  <c r="N357" i="15"/>
  <c r="M357" i="15"/>
  <c r="L357" i="15"/>
  <c r="K357" i="15"/>
  <c r="N361" i="15"/>
  <c r="M361" i="15"/>
  <c r="L361" i="15"/>
  <c r="K361" i="15"/>
  <c r="N364" i="15"/>
  <c r="M364" i="15"/>
  <c r="L364" i="15"/>
  <c r="K364" i="15"/>
  <c r="N371" i="15"/>
  <c r="M371" i="15"/>
  <c r="L371" i="15"/>
  <c r="K371" i="15"/>
  <c r="N372" i="15"/>
  <c r="M372" i="15"/>
  <c r="L372" i="15"/>
  <c r="K372" i="15"/>
  <c r="N369" i="15"/>
  <c r="M369" i="15"/>
  <c r="L369" i="15"/>
  <c r="K369" i="15"/>
  <c r="N370" i="15"/>
  <c r="M370" i="15"/>
  <c r="L370" i="15"/>
  <c r="K370" i="15"/>
  <c r="N368" i="15"/>
  <c r="M368" i="15"/>
  <c r="L368" i="15"/>
  <c r="K368" i="15"/>
  <c r="N367" i="15"/>
  <c r="M367" i="15"/>
  <c r="L367" i="15"/>
  <c r="K367" i="15"/>
  <c r="N378" i="15"/>
  <c r="M378" i="15"/>
  <c r="L378" i="15"/>
  <c r="K378" i="15"/>
  <c r="N374" i="15"/>
  <c r="M374" i="15"/>
  <c r="L374" i="15"/>
  <c r="K374" i="15"/>
  <c r="N373" i="15"/>
  <c r="M373" i="15"/>
  <c r="L373" i="15"/>
  <c r="K373" i="15"/>
  <c r="N376" i="15"/>
  <c r="M376" i="15"/>
  <c r="L376" i="15"/>
  <c r="K376" i="15"/>
  <c r="N381" i="15"/>
  <c r="M381" i="15"/>
  <c r="L381" i="15"/>
  <c r="K381" i="15"/>
  <c r="N375" i="15"/>
  <c r="M375" i="15"/>
  <c r="L375" i="15"/>
  <c r="K375" i="15"/>
  <c r="N377" i="15"/>
  <c r="M377" i="15"/>
  <c r="L377" i="15"/>
  <c r="K377" i="15"/>
  <c r="N379" i="15"/>
  <c r="M379" i="15"/>
  <c r="L379" i="15"/>
  <c r="K379" i="15"/>
  <c r="N380" i="15"/>
  <c r="M380" i="15"/>
  <c r="L380" i="15"/>
  <c r="K380" i="15"/>
  <c r="N382" i="15"/>
  <c r="M382" i="15"/>
  <c r="L382" i="15"/>
  <c r="K382" i="15"/>
  <c r="N385" i="15"/>
  <c r="M385" i="15"/>
  <c r="L385" i="15"/>
  <c r="K385" i="15"/>
  <c r="N388" i="15"/>
  <c r="M388" i="15"/>
  <c r="L388" i="15"/>
  <c r="K388" i="15"/>
  <c r="N389" i="15"/>
  <c r="M389" i="15"/>
  <c r="L389" i="15"/>
  <c r="K389" i="15"/>
  <c r="N384" i="15"/>
  <c r="M384" i="15"/>
  <c r="L384" i="15"/>
  <c r="K384" i="15"/>
  <c r="N390" i="15"/>
  <c r="M390" i="15"/>
  <c r="L390" i="15"/>
  <c r="K390" i="15"/>
  <c r="N386" i="15"/>
  <c r="M386" i="15"/>
  <c r="L386" i="15"/>
  <c r="K386" i="15"/>
  <c r="N387" i="15"/>
  <c r="M387" i="15"/>
  <c r="L387" i="15"/>
  <c r="K387" i="15"/>
  <c r="N391" i="15"/>
  <c r="M391" i="15"/>
  <c r="L391" i="15"/>
  <c r="K391" i="15"/>
  <c r="N392" i="15"/>
  <c r="M392" i="15"/>
  <c r="L392" i="15"/>
  <c r="K392" i="15"/>
  <c r="N383" i="15"/>
  <c r="M383" i="15"/>
  <c r="L383" i="15"/>
  <c r="K383" i="15"/>
  <c r="N399" i="15"/>
  <c r="M399" i="15"/>
  <c r="L399" i="15"/>
  <c r="K399" i="15"/>
  <c r="N400" i="15"/>
  <c r="M400" i="15"/>
  <c r="L400" i="15"/>
  <c r="K400" i="15"/>
  <c r="N394" i="15"/>
  <c r="M394" i="15"/>
  <c r="L394" i="15"/>
  <c r="K394" i="15"/>
  <c r="N395" i="15"/>
  <c r="M395" i="15"/>
  <c r="L395" i="15"/>
  <c r="K395" i="15"/>
  <c r="N393" i="15"/>
  <c r="M393" i="15"/>
  <c r="L393" i="15"/>
  <c r="K393" i="15"/>
  <c r="N397" i="15"/>
  <c r="M397" i="15"/>
  <c r="L397" i="15"/>
  <c r="K397" i="15"/>
  <c r="N401" i="15"/>
  <c r="M401" i="15"/>
  <c r="L401" i="15"/>
  <c r="K401" i="15"/>
  <c r="N403" i="15"/>
  <c r="M403" i="15"/>
  <c r="L403" i="15"/>
  <c r="K403" i="15"/>
  <c r="N396" i="15"/>
  <c r="M396" i="15"/>
  <c r="L396" i="15"/>
  <c r="K396" i="15"/>
  <c r="N402" i="15"/>
  <c r="M402" i="15"/>
  <c r="L402" i="15"/>
  <c r="K402" i="15"/>
  <c r="N398" i="15"/>
  <c r="M398" i="15"/>
  <c r="L398" i="15"/>
  <c r="K398" i="15"/>
  <c r="N404" i="15"/>
  <c r="M404" i="15"/>
  <c r="L404" i="15"/>
  <c r="K404" i="15"/>
  <c r="N405" i="15"/>
  <c r="M405" i="15"/>
  <c r="L405" i="15"/>
  <c r="K405" i="15"/>
  <c r="N409" i="15"/>
  <c r="M409" i="15"/>
  <c r="L409" i="15"/>
  <c r="K409" i="15"/>
  <c r="N406" i="15"/>
  <c r="M406" i="15"/>
  <c r="L406" i="15"/>
  <c r="K406" i="15"/>
  <c r="N407" i="15"/>
  <c r="M407" i="15"/>
  <c r="L407" i="15"/>
  <c r="K407" i="15"/>
  <c r="N408" i="15"/>
  <c r="M408" i="15"/>
  <c r="L408" i="15"/>
  <c r="K408" i="15"/>
  <c r="N410" i="15"/>
  <c r="M410" i="15"/>
  <c r="L410" i="15"/>
  <c r="K410" i="15"/>
  <c r="N411" i="15"/>
  <c r="M411" i="15"/>
  <c r="L411" i="15"/>
  <c r="K411" i="15"/>
  <c r="O411" i="15" l="1"/>
  <c r="O11" i="15"/>
  <c r="O8" i="15"/>
  <c r="O2" i="15"/>
  <c r="O404" i="15"/>
  <c r="O372" i="15"/>
  <c r="O247" i="15"/>
  <c r="O14" i="15"/>
  <c r="O23" i="15"/>
  <c r="O364" i="15"/>
  <c r="O47" i="15"/>
  <c r="O302" i="15"/>
  <c r="O59" i="15"/>
  <c r="O58" i="15"/>
  <c r="O172" i="15"/>
  <c r="O277" i="15"/>
  <c r="O138" i="15"/>
  <c r="O409" i="15"/>
  <c r="O392" i="15"/>
  <c r="O377" i="15"/>
  <c r="O403" i="15"/>
  <c r="O400" i="15"/>
  <c r="O50" i="15"/>
  <c r="O95" i="15"/>
  <c r="O103" i="15"/>
  <c r="O402" i="15"/>
  <c r="O217" i="15"/>
  <c r="O26" i="15"/>
  <c r="O282" i="15"/>
  <c r="O307" i="15"/>
  <c r="O291" i="15"/>
  <c r="O260" i="15"/>
  <c r="O297" i="15"/>
  <c r="O257" i="15"/>
  <c r="O245" i="15"/>
  <c r="O157" i="15"/>
  <c r="O117" i="15"/>
  <c r="O121" i="15"/>
  <c r="O74" i="15"/>
  <c r="O361" i="15"/>
  <c r="O360" i="15"/>
  <c r="O354" i="15"/>
  <c r="O351" i="15"/>
  <c r="O353" i="15"/>
  <c r="O338" i="15"/>
  <c r="O344" i="15"/>
  <c r="O331" i="15"/>
  <c r="O329" i="15"/>
  <c r="O316" i="15"/>
  <c r="O317" i="15"/>
  <c r="O406" i="15"/>
  <c r="O19" i="15"/>
  <c r="O9" i="15"/>
  <c r="O287" i="15"/>
  <c r="O255" i="15"/>
  <c r="O275" i="15"/>
  <c r="O238" i="15"/>
  <c r="O162" i="15"/>
  <c r="O105" i="15"/>
  <c r="O128" i="15"/>
  <c r="O85" i="15"/>
  <c r="O66" i="15"/>
  <c r="O306" i="15"/>
  <c r="O248" i="15"/>
  <c r="O237" i="15"/>
  <c r="O218" i="15"/>
  <c r="O222" i="15"/>
  <c r="O136" i="15"/>
  <c r="O106" i="15"/>
  <c r="O89" i="15"/>
  <c r="O90" i="15"/>
  <c r="O78" i="15"/>
  <c r="O77" i="15"/>
  <c r="O341" i="15"/>
  <c r="O324" i="15"/>
  <c r="O41" i="15"/>
  <c r="O71" i="15"/>
  <c r="O70" i="15"/>
  <c r="O63" i="15"/>
  <c r="O295" i="15"/>
  <c r="O241" i="15"/>
  <c r="O236" i="15"/>
  <c r="O213" i="15"/>
  <c r="O132" i="15"/>
  <c r="O145" i="15"/>
  <c r="O102" i="15"/>
  <c r="O345" i="15"/>
  <c r="O335" i="15"/>
  <c r="O293" i="15"/>
  <c r="O278" i="15"/>
  <c r="O343" i="15"/>
  <c r="O290" i="15"/>
  <c r="O235" i="15"/>
  <c r="O116" i="15"/>
  <c r="O326" i="15"/>
  <c r="O327" i="15"/>
  <c r="O311" i="15"/>
  <c r="O178" i="15"/>
  <c r="O185" i="15"/>
  <c r="O198" i="15"/>
  <c r="O183" i="15"/>
  <c r="O164" i="15"/>
  <c r="O186" i="15"/>
  <c r="O175" i="15"/>
  <c r="O167" i="15"/>
  <c r="O137" i="15"/>
  <c r="O171" i="15"/>
  <c r="O75" i="15"/>
  <c r="O80" i="15"/>
  <c r="O381" i="15"/>
  <c r="O398" i="15"/>
  <c r="O208" i="15"/>
  <c r="O203" i="15"/>
  <c r="O190" i="15"/>
  <c r="O158" i="15"/>
  <c r="O135" i="15"/>
  <c r="O51" i="15"/>
  <c r="O22" i="15"/>
  <c r="O16" i="15"/>
  <c r="O336" i="15"/>
  <c r="O212" i="15"/>
  <c r="O83" i="15"/>
  <c r="O155" i="15"/>
  <c r="O179" i="15"/>
  <c r="O378" i="15"/>
  <c r="O298" i="15"/>
  <c r="O262" i="15"/>
  <c r="O195" i="15"/>
  <c r="O129" i="15"/>
  <c r="O88" i="15"/>
  <c r="O84" i="15"/>
  <c r="O73" i="15"/>
  <c r="O35" i="15"/>
  <c r="O28" i="15"/>
  <c r="O76" i="15"/>
  <c r="O379" i="15"/>
  <c r="O359" i="15"/>
  <c r="O337" i="15"/>
  <c r="O265" i="15"/>
  <c r="O256" i="15"/>
  <c r="O219" i="15"/>
  <c r="O199" i="15"/>
  <c r="O194" i="15"/>
  <c r="O200" i="15"/>
  <c r="O154" i="15"/>
  <c r="O174" i="15"/>
  <c r="O375" i="15"/>
  <c r="O347" i="15"/>
  <c r="O264" i="15"/>
  <c r="O189" i="15"/>
  <c r="O170" i="15"/>
  <c r="O141" i="15"/>
  <c r="O153" i="15"/>
  <c r="O139" i="15"/>
  <c r="O72" i="15"/>
  <c r="O61" i="15"/>
  <c r="O69" i="15"/>
  <c r="O52" i="15"/>
  <c r="O373" i="15"/>
  <c r="O367" i="15"/>
  <c r="O369" i="15"/>
  <c r="O334" i="15"/>
  <c r="O272" i="15"/>
  <c r="O263" i="15"/>
  <c r="O223" i="15"/>
  <c r="O184" i="15"/>
  <c r="O143" i="15"/>
  <c r="O118" i="15"/>
  <c r="O124" i="15"/>
  <c r="O160" i="15"/>
  <c r="O87" i="15"/>
  <c r="O24" i="15"/>
  <c r="O25" i="15"/>
  <c r="O17" i="15"/>
  <c r="O40" i="15"/>
  <c r="O396" i="15"/>
  <c r="O383" i="15"/>
  <c r="O385" i="15"/>
  <c r="O342" i="15"/>
  <c r="O328" i="15"/>
  <c r="O299" i="15"/>
  <c r="O269" i="15"/>
  <c r="O284" i="15"/>
  <c r="O173" i="15"/>
  <c r="O86" i="15"/>
  <c r="O65" i="15"/>
  <c r="O394" i="15"/>
  <c r="O387" i="15"/>
  <c r="O384" i="15"/>
  <c r="O352" i="15"/>
  <c r="O321" i="15"/>
  <c r="O300" i="15"/>
  <c r="O281" i="15"/>
  <c r="O286" i="15"/>
  <c r="O126" i="15"/>
  <c r="O340" i="15"/>
  <c r="O301" i="15"/>
  <c r="O242" i="15"/>
  <c r="O243" i="15"/>
  <c r="O251" i="15"/>
  <c r="O216" i="15"/>
  <c r="O211" i="15"/>
  <c r="O209" i="15"/>
  <c r="O148" i="15"/>
  <c r="O142" i="15"/>
  <c r="O120" i="15"/>
  <c r="O127" i="15"/>
  <c r="O108" i="15"/>
  <c r="O113" i="15"/>
  <c r="O119" i="15"/>
  <c r="O36" i="15"/>
  <c r="O29" i="15"/>
  <c r="O45" i="15"/>
  <c r="O10" i="15"/>
  <c r="O3" i="15"/>
  <c r="O99" i="15"/>
  <c r="O109" i="15"/>
  <c r="O100" i="15"/>
  <c r="O97" i="15"/>
  <c r="O60" i="15"/>
  <c r="O408" i="15"/>
  <c r="O214" i="15"/>
  <c r="O31" i="15"/>
  <c r="O368" i="15"/>
  <c r="O305" i="15"/>
  <c r="O131" i="15"/>
  <c r="O407" i="15"/>
  <c r="O405" i="15"/>
  <c r="O389" i="15"/>
  <c r="O370" i="15"/>
  <c r="O309" i="15"/>
  <c r="O274" i="15"/>
  <c r="O266" i="15"/>
  <c r="O271" i="15"/>
  <c r="O192" i="15"/>
  <c r="O92" i="15"/>
  <c r="O259" i="15"/>
  <c r="O229" i="15"/>
  <c r="O21" i="15"/>
  <c r="O371" i="15"/>
  <c r="O268" i="15"/>
  <c r="O201" i="15"/>
  <c r="O207" i="15"/>
  <c r="O146" i="15"/>
  <c r="O125" i="15"/>
  <c r="O13" i="15"/>
  <c r="O20" i="15"/>
  <c r="O115" i="15"/>
  <c r="O391" i="15"/>
  <c r="O380" i="15"/>
  <c r="O357" i="15"/>
  <c r="O355" i="15"/>
  <c r="O358" i="15"/>
  <c r="O333" i="15"/>
  <c r="O323" i="15"/>
  <c r="O314" i="15"/>
  <c r="O313" i="15"/>
  <c r="O303" i="15"/>
  <c r="O308" i="15"/>
  <c r="O289" i="15"/>
  <c r="O258" i="15"/>
  <c r="O276" i="15"/>
  <c r="O253" i="15"/>
  <c r="O240" i="15"/>
  <c r="O225" i="15"/>
  <c r="O204" i="15"/>
  <c r="O210" i="15"/>
  <c r="O176" i="15"/>
  <c r="O123" i="15"/>
  <c r="O112" i="15"/>
  <c r="O93" i="15"/>
  <c r="O56" i="15"/>
  <c r="O15" i="15"/>
  <c r="O399" i="15"/>
  <c r="O382" i="15"/>
  <c r="O362" i="15"/>
  <c r="O349" i="15"/>
  <c r="O320" i="15"/>
  <c r="O310" i="15"/>
  <c r="O283" i="15"/>
  <c r="O273" i="15"/>
  <c r="O224" i="15"/>
  <c r="O166" i="15"/>
  <c r="O165" i="15"/>
  <c r="O104" i="15"/>
  <c r="O43" i="15"/>
  <c r="O46" i="15"/>
  <c r="O252" i="15"/>
  <c r="O231" i="15"/>
  <c r="O182" i="15"/>
  <c r="O232" i="15"/>
  <c r="O228" i="15"/>
  <c r="O206" i="15"/>
  <c r="O191" i="15"/>
  <c r="O134" i="15"/>
  <c r="O177" i="15"/>
  <c r="O149" i="15"/>
  <c r="O140" i="15"/>
  <c r="O122" i="15"/>
  <c r="O82" i="15"/>
  <c r="O68" i="15"/>
  <c r="O53" i="15"/>
  <c r="O38" i="15"/>
  <c r="O32" i="15"/>
  <c r="O42" i="15"/>
  <c r="O4" i="15"/>
  <c r="O397" i="15"/>
  <c r="O390" i="15"/>
  <c r="O388" i="15"/>
  <c r="O376" i="15"/>
  <c r="O365" i="15"/>
  <c r="O350" i="15"/>
  <c r="O346" i="15"/>
  <c r="O339" i="15"/>
  <c r="O330" i="15"/>
  <c r="O319" i="15"/>
  <c r="O318" i="15"/>
  <c r="O304" i="15"/>
  <c r="O294" i="15"/>
  <c r="O279" i="15"/>
  <c r="O285" i="15"/>
  <c r="O254" i="15"/>
  <c r="O239" i="15"/>
  <c r="O270" i="15"/>
  <c r="O221" i="15"/>
  <c r="O202" i="15"/>
  <c r="O168" i="15"/>
  <c r="O181" i="15"/>
  <c r="O150" i="15"/>
  <c r="O130" i="15"/>
  <c r="O110" i="15"/>
  <c r="O81" i="15"/>
  <c r="O39" i="15"/>
  <c r="O55" i="15"/>
  <c r="O33" i="15"/>
  <c r="O37" i="15"/>
  <c r="O246" i="15"/>
  <c r="O230" i="15"/>
  <c r="O249" i="15"/>
  <c r="O197" i="15"/>
  <c r="O180" i="15"/>
  <c r="O196" i="15"/>
  <c r="O133" i="15"/>
  <c r="O144" i="15"/>
  <c r="O101" i="15"/>
  <c r="O94" i="15"/>
  <c r="O57" i="15"/>
  <c r="O44" i="15"/>
  <c r="O34" i="15"/>
  <c r="O67" i="15"/>
  <c r="O18" i="15"/>
  <c r="O7" i="15"/>
  <c r="O393" i="15"/>
  <c r="O348" i="15"/>
  <c r="O315" i="15"/>
  <c r="O292" i="15"/>
  <c r="O234" i="15"/>
  <c r="O244" i="15"/>
  <c r="O220" i="15"/>
  <c r="O226" i="15"/>
  <c r="O215" i="15"/>
  <c r="O188" i="15"/>
  <c r="O193" i="15"/>
  <c r="O156" i="15"/>
  <c r="O169" i="15"/>
  <c r="O152" i="15"/>
  <c r="O151" i="15"/>
  <c r="O159" i="15"/>
  <c r="O114" i="15"/>
  <c r="O91" i="15"/>
  <c r="O96" i="15"/>
  <c r="O49" i="15"/>
  <c r="O62" i="15"/>
  <c r="O48" i="15"/>
  <c r="O30" i="15"/>
  <c r="O12" i="15"/>
  <c r="O5" i="15"/>
  <c r="O410" i="15"/>
  <c r="O401" i="15"/>
  <c r="O395" i="15"/>
  <c r="O386" i="15"/>
  <c r="O374" i="15"/>
  <c r="O363" i="15"/>
  <c r="O366" i="15"/>
  <c r="O356" i="15"/>
  <c r="O332" i="15"/>
  <c r="O325" i="15"/>
  <c r="O312" i="15"/>
  <c r="O322" i="15"/>
  <c r="O280" i="15"/>
  <c r="O296" i="15"/>
  <c r="O288" i="15"/>
  <c r="O261" i="15"/>
  <c r="O227" i="15"/>
  <c r="O267" i="15"/>
  <c r="O250" i="15"/>
  <c r="O233" i="15"/>
  <c r="O205" i="15"/>
  <c r="O147" i="15"/>
  <c r="O187" i="15"/>
  <c r="O163" i="15"/>
  <c r="O111" i="15"/>
  <c r="O161" i="15"/>
  <c r="O107" i="15"/>
  <c r="O98" i="15"/>
  <c r="O79" i="15"/>
  <c r="O27" i="15"/>
  <c r="O54" i="15"/>
  <c r="O64" i="15"/>
  <c r="O6" i="15"/>
</calcChain>
</file>

<file path=xl/sharedStrings.xml><?xml version="1.0" encoding="utf-8"?>
<sst xmlns="http://schemas.openxmlformats.org/spreadsheetml/2006/main" count="428" uniqueCount="428">
  <si>
    <t>FLAMING</t>
  </si>
  <si>
    <t>REPRISAL</t>
  </si>
  <si>
    <t>GIST</t>
  </si>
  <si>
    <t>SPUR</t>
  </si>
  <si>
    <t>PERCH</t>
  </si>
  <si>
    <t>FORETHOUGHT</t>
  </si>
  <si>
    <t>ENTERPRISING</t>
  </si>
  <si>
    <t>FINE</t>
  </si>
  <si>
    <t>ALLEGORY</t>
  </si>
  <si>
    <t>BID</t>
  </si>
  <si>
    <t>ELECTRIFY</t>
  </si>
  <si>
    <t>TIDBIT</t>
  </si>
  <si>
    <t>FENCING</t>
  </si>
  <si>
    <t>ATTEST</t>
  </si>
  <si>
    <t>COMPRISE</t>
  </si>
  <si>
    <t>DEBACLE</t>
  </si>
  <si>
    <t>FEUDALISM</t>
  </si>
  <si>
    <t>HOSTILITY</t>
  </si>
  <si>
    <t>MANIFEST</t>
  </si>
  <si>
    <t>RAISE</t>
  </si>
  <si>
    <t>RUNG</t>
  </si>
  <si>
    <t>CAUSE</t>
  </si>
  <si>
    <t>FRIVOLOUS</t>
  </si>
  <si>
    <t>INTENSE</t>
  </si>
  <si>
    <t>REASON</t>
  </si>
  <si>
    <t>OVERBEARING</t>
  </si>
  <si>
    <t>REAR</t>
  </si>
  <si>
    <t>VARYING</t>
  </si>
  <si>
    <t>DIGNIFIED</t>
  </si>
  <si>
    <t>LISTLESS</t>
  </si>
  <si>
    <t>EASYGOING</t>
  </si>
  <si>
    <t>BED</t>
  </si>
  <si>
    <t>ENACT</t>
  </si>
  <si>
    <t>DOWNCAST</t>
  </si>
  <si>
    <t>RESPITE</t>
  </si>
  <si>
    <t>TRESTLE</t>
  </si>
  <si>
    <t>MISCONCEPTION</t>
  </si>
  <si>
    <t>IMPAIR</t>
  </si>
  <si>
    <t>IMPROPRIETY</t>
  </si>
  <si>
    <t>REFORMATION</t>
  </si>
  <si>
    <t>FALLACY</t>
  </si>
  <si>
    <t>MOMENTOUS</t>
  </si>
  <si>
    <t>INDENT</t>
  </si>
  <si>
    <t>FRANKINCENSE</t>
  </si>
  <si>
    <t>BYLAW</t>
  </si>
  <si>
    <t>RESTRICTED</t>
  </si>
  <si>
    <t>EDGE</t>
  </si>
  <si>
    <t>INVOLVED</t>
  </si>
  <si>
    <t>UNDOING</t>
  </si>
  <si>
    <t>JOLT</t>
  </si>
  <si>
    <t>CANAL</t>
  </si>
  <si>
    <t>CRUMBLY</t>
  </si>
  <si>
    <t>DIFFERENCE</t>
  </si>
  <si>
    <t>PURPOSE</t>
  </si>
  <si>
    <t>CONE</t>
  </si>
  <si>
    <t>FACTOR</t>
  </si>
  <si>
    <t>PIPING</t>
  </si>
  <si>
    <t>UNITE</t>
  </si>
  <si>
    <t>ESTATE</t>
  </si>
  <si>
    <t>EXPLICIT</t>
  </si>
  <si>
    <t>ASSIST</t>
  </si>
  <si>
    <t>CURDLE</t>
  </si>
  <si>
    <t>MUST</t>
  </si>
  <si>
    <t>OPTIMISTIC</t>
  </si>
  <si>
    <t>SPEAK</t>
  </si>
  <si>
    <t>YODEL</t>
  </si>
  <si>
    <t>DISPENSE</t>
  </si>
  <si>
    <t>INTERESTING</t>
  </si>
  <si>
    <t>LIVE</t>
  </si>
  <si>
    <t>MODE</t>
  </si>
  <si>
    <t>CONDITION</t>
  </si>
  <si>
    <t>ENIGMA</t>
  </si>
  <si>
    <t>EQUIVALENT</t>
  </si>
  <si>
    <t>SMOOTHING</t>
  </si>
  <si>
    <t>STRETCH</t>
  </si>
  <si>
    <t>SURROUND</t>
  </si>
  <si>
    <t>CAMARADERIE</t>
  </si>
  <si>
    <t>COMPLEMENTARY</t>
  </si>
  <si>
    <t>KEPT</t>
  </si>
  <si>
    <t>ABANDONED</t>
  </si>
  <si>
    <t>COMIC</t>
  </si>
  <si>
    <t>DISCLOSURE</t>
  </si>
  <si>
    <t>DWELLING</t>
  </si>
  <si>
    <t>PEONY</t>
  </si>
  <si>
    <t>SHED</t>
  </si>
  <si>
    <t>TELLING</t>
  </si>
  <si>
    <t>WASHER</t>
  </si>
  <si>
    <t>BLIND</t>
  </si>
  <si>
    <t>EFFORT</t>
  </si>
  <si>
    <t>ESSENTIAL</t>
  </si>
  <si>
    <t>FELL</t>
  </si>
  <si>
    <t>STIMULUS</t>
  </si>
  <si>
    <t>WELL</t>
  </si>
  <si>
    <t>BUMP</t>
  </si>
  <si>
    <t>FATE</t>
  </si>
  <si>
    <t>GALLANT</t>
  </si>
  <si>
    <t>INSINCERE</t>
  </si>
  <si>
    <t>MEASURE</t>
  </si>
  <si>
    <t>PASSING</t>
  </si>
  <si>
    <t>RESOLVE</t>
  </si>
  <si>
    <t>DEITY</t>
  </si>
  <si>
    <t>BROOM</t>
  </si>
  <si>
    <t>GUM</t>
  </si>
  <si>
    <t>MAY</t>
  </si>
  <si>
    <t>PRISONER</t>
  </si>
  <si>
    <t>TOUGH</t>
  </si>
  <si>
    <t>TRACK</t>
  </si>
  <si>
    <t>ACCURATE</t>
  </si>
  <si>
    <t>ALIAS</t>
  </si>
  <si>
    <t>COMPLICATION</t>
  </si>
  <si>
    <t>DISAPPOINTED</t>
  </si>
  <si>
    <t>DISTILLATION</t>
  </si>
  <si>
    <t>ERODE</t>
  </si>
  <si>
    <t>GROWTH</t>
  </si>
  <si>
    <t>LANDSCAPE</t>
  </si>
  <si>
    <t>PROMISING</t>
  </si>
  <si>
    <t>TAME</t>
  </si>
  <si>
    <t>YOUTH</t>
  </si>
  <si>
    <t>TRIBUNAL</t>
  </si>
  <si>
    <t>APPARENT</t>
  </si>
  <si>
    <t>APRICOT</t>
  </si>
  <si>
    <t>SENTENCE</t>
  </si>
  <si>
    <t>CHRONOLOGY</t>
  </si>
  <si>
    <t>INSPIRED</t>
  </si>
  <si>
    <t>SHONE</t>
  </si>
  <si>
    <t>WEDGE</t>
  </si>
  <si>
    <t>AUDIT</t>
  </si>
  <si>
    <t>FRESH</t>
  </si>
  <si>
    <t>PERSUASION</t>
  </si>
  <si>
    <t>PITCHER</t>
  </si>
  <si>
    <t>APPRAISAL</t>
  </si>
  <si>
    <t>BELIEF</t>
  </si>
  <si>
    <t>DULLNESS</t>
  </si>
  <si>
    <t>IRKSOME</t>
  </si>
  <si>
    <t>MAIL</t>
  </si>
  <si>
    <t>OWN</t>
  </si>
  <si>
    <t>SAMPLE</t>
  </si>
  <si>
    <t>ABACUS</t>
  </si>
  <si>
    <t>FERTILE</t>
  </si>
  <si>
    <t>ORDINARY</t>
  </si>
  <si>
    <t>SCENE</t>
  </si>
  <si>
    <t>TENDENCY</t>
  </si>
  <si>
    <t>AVAILABLE</t>
  </si>
  <si>
    <t>CARBOHYDRATE</t>
  </si>
  <si>
    <t>CRUSTACEAN</t>
  </si>
  <si>
    <t>HOPELESSNESS</t>
  </si>
  <si>
    <t>KNOT</t>
  </si>
  <si>
    <t>OUTCOME</t>
  </si>
  <si>
    <t>RATING</t>
  </si>
  <si>
    <t>RAY</t>
  </si>
  <si>
    <t>SELLING</t>
  </si>
  <si>
    <t>SUDS</t>
  </si>
  <si>
    <t>TENSE</t>
  </si>
  <si>
    <t>TOLD</t>
  </si>
  <si>
    <t>WILD</t>
  </si>
  <si>
    <t>ADVANCED</t>
  </si>
  <si>
    <t>CONSIDERABLE</t>
  </si>
  <si>
    <t>DEVELOP</t>
  </si>
  <si>
    <t>DISTANCE</t>
  </si>
  <si>
    <t>INFLUENCE</t>
  </si>
  <si>
    <t>JOIN</t>
  </si>
  <si>
    <t>MADNESS</t>
  </si>
  <si>
    <t>MARINADE</t>
  </si>
  <si>
    <t>PAINTING</t>
  </si>
  <si>
    <t>RELIC</t>
  </si>
  <si>
    <t>OUTGOING</t>
  </si>
  <si>
    <t>SMITTEN</t>
  </si>
  <si>
    <t>WINE</t>
  </si>
  <si>
    <t>BARGAIN</t>
  </si>
  <si>
    <t>BREEZE</t>
  </si>
  <si>
    <t>BREWING</t>
  </si>
  <si>
    <t>CHAMPION</t>
  </si>
  <si>
    <t>CRUSH</t>
  </si>
  <si>
    <t>DONE</t>
  </si>
  <si>
    <t>LOVING</t>
  </si>
  <si>
    <t>PUPIL</t>
  </si>
  <si>
    <t>SCORE</t>
  </si>
  <si>
    <t>SUFFIX</t>
  </si>
  <si>
    <t>TESTING</t>
  </si>
  <si>
    <t>UNLIMITED</t>
  </si>
  <si>
    <t>WORN</t>
  </si>
  <si>
    <t>CONSIDERATE</t>
  </si>
  <si>
    <t>DECEPTION</t>
  </si>
  <si>
    <t>EFFECT</t>
  </si>
  <si>
    <t>EXAMINE</t>
  </si>
  <si>
    <t>EXTRACT</t>
  </si>
  <si>
    <t>KNEW</t>
  </si>
  <si>
    <t>PROPER</t>
  </si>
  <si>
    <t>RECRUIT</t>
  </si>
  <si>
    <t>SOCIALIST</t>
  </si>
  <si>
    <t>THREW</t>
  </si>
  <si>
    <t>WEARY</t>
  </si>
  <si>
    <t>PASSION</t>
  </si>
  <si>
    <t>FALLING</t>
  </si>
  <si>
    <t>PLIERS</t>
  </si>
  <si>
    <t>PROTOCOL</t>
  </si>
  <si>
    <t>REVOLTING</t>
  </si>
  <si>
    <t>ROUTINE</t>
  </si>
  <si>
    <t>TUB</t>
  </si>
  <si>
    <t>BITTERNESS</t>
  </si>
  <si>
    <t>CHOP</t>
  </si>
  <si>
    <t>CORRUPT</t>
  </si>
  <si>
    <t>CRIME</t>
  </si>
  <si>
    <t>DURATION</t>
  </si>
  <si>
    <t>ENTWINE</t>
  </si>
  <si>
    <t>FERAL</t>
  </si>
  <si>
    <t>FORMULA</t>
  </si>
  <si>
    <t>GROUND</t>
  </si>
  <si>
    <t>LATTER</t>
  </si>
  <si>
    <t>NEWS</t>
  </si>
  <si>
    <t>NOPE</t>
  </si>
  <si>
    <t>RUB</t>
  </si>
  <si>
    <t>TELEPHONE</t>
  </si>
  <si>
    <t>TON</t>
  </si>
  <si>
    <t>BELOVED</t>
  </si>
  <si>
    <t>BINOCULAR</t>
  </si>
  <si>
    <t>CONSTANT</t>
  </si>
  <si>
    <t>FAIR</t>
  </si>
  <si>
    <t>FIBULA</t>
  </si>
  <si>
    <t>FUNCTION</t>
  </si>
  <si>
    <t>GRASS</t>
  </si>
  <si>
    <t>JAM</t>
  </si>
  <si>
    <t>KNIFE</t>
  </si>
  <si>
    <t>LIE</t>
  </si>
  <si>
    <t>PATTERN</t>
  </si>
  <si>
    <t>REFUGE</t>
  </si>
  <si>
    <t>SEA</t>
  </si>
  <si>
    <t>SLIT</t>
  </si>
  <si>
    <t>THOUGHT</t>
  </si>
  <si>
    <t>WIDE</t>
  </si>
  <si>
    <t>BUILDING</t>
  </si>
  <si>
    <t>MOLECULE</t>
  </si>
  <si>
    <t>BEAT</t>
  </si>
  <si>
    <t>EMERGE</t>
  </si>
  <si>
    <t>FRONT</t>
  </si>
  <si>
    <t>SEEN</t>
  </si>
  <si>
    <t>TEMPLE</t>
  </si>
  <si>
    <t>WAGER</t>
  </si>
  <si>
    <t>BROKEN</t>
  </si>
  <si>
    <t>BRONZE</t>
  </si>
  <si>
    <t>BUREAU</t>
  </si>
  <si>
    <t>COMPETENT</t>
  </si>
  <si>
    <t>FEW</t>
  </si>
  <si>
    <t>GREY</t>
  </si>
  <si>
    <t>LANTERN</t>
  </si>
  <si>
    <t>LINING</t>
  </si>
  <si>
    <t>MAINTAIN</t>
  </si>
  <si>
    <t>POOR</t>
  </si>
  <si>
    <t>PREFERENCE</t>
  </si>
  <si>
    <t>SURPLUS</t>
  </si>
  <si>
    <t>SWAN</t>
  </si>
  <si>
    <t>WAIL</t>
  </si>
  <si>
    <t>ABSENT</t>
  </si>
  <si>
    <t>AWARE</t>
  </si>
  <si>
    <t>CLOTHING</t>
  </si>
  <si>
    <t>COST</t>
  </si>
  <si>
    <t>ELECT</t>
  </si>
  <si>
    <t>EVENING</t>
  </si>
  <si>
    <t>IRRITATION</t>
  </si>
  <si>
    <t>JAGUAR</t>
  </si>
  <si>
    <t>MASTER</t>
  </si>
  <si>
    <t>PAIR</t>
  </si>
  <si>
    <t>PICKLE</t>
  </si>
  <si>
    <t>PYRAMID</t>
  </si>
  <si>
    <t>RENT</t>
  </si>
  <si>
    <t>SCENT</t>
  </si>
  <si>
    <t>TOKEN</t>
  </si>
  <si>
    <t>VARIED</t>
  </si>
  <si>
    <t>WEATHER</t>
  </si>
  <si>
    <t>WEEPING</t>
  </si>
  <si>
    <t>WILLING</t>
  </si>
  <si>
    <t>WITNESS</t>
  </si>
  <si>
    <t>WON</t>
  </si>
  <si>
    <t>GRASP</t>
  </si>
  <si>
    <t>KEY</t>
  </si>
  <si>
    <t>LEFT</t>
  </si>
  <si>
    <t>NECK</t>
  </si>
  <si>
    <t>PREVIOUS</t>
  </si>
  <si>
    <t>CHILLY</t>
  </si>
  <si>
    <t>COSTUME</t>
  </si>
  <si>
    <t>DANCING</t>
  </si>
  <si>
    <t>DEPENDABLE</t>
  </si>
  <si>
    <t>DROWSY</t>
  </si>
  <si>
    <t>DUEL</t>
  </si>
  <si>
    <t>GREETING</t>
  </si>
  <si>
    <t>HIDDEN</t>
  </si>
  <si>
    <t>KID</t>
  </si>
  <si>
    <t>MESSY</t>
  </si>
  <si>
    <t>OATH</t>
  </si>
  <si>
    <t>PROBLEM</t>
  </si>
  <si>
    <t>PROTECTION</t>
  </si>
  <si>
    <t>REMARKABLE</t>
  </si>
  <si>
    <t>ROAD</t>
  </si>
  <si>
    <t>ROCK</t>
  </si>
  <si>
    <t>ROOT</t>
  </si>
  <si>
    <t>RUBBLE</t>
  </si>
  <si>
    <t>SURGEON</t>
  </si>
  <si>
    <t>SWAMP</t>
  </si>
  <si>
    <t>VAN</t>
  </si>
  <si>
    <t>WET</t>
  </si>
  <si>
    <t>WITHDRAWN</t>
  </si>
  <si>
    <t>ADULTERY</t>
  </si>
  <si>
    <t>ADVANTAGE</t>
  </si>
  <si>
    <t>ALLERGEN</t>
  </si>
  <si>
    <t>ANTEATER</t>
  </si>
  <si>
    <t>ARTIST</t>
  </si>
  <si>
    <t>BASIC</t>
  </si>
  <si>
    <t>BITE</t>
  </si>
  <si>
    <t>BUTTERFLY</t>
  </si>
  <si>
    <t>DEAD</t>
  </si>
  <si>
    <t>DRAWING</t>
  </si>
  <si>
    <t>EVOLUTION</t>
  </si>
  <si>
    <t>FROG</t>
  </si>
  <si>
    <t>KEEN</t>
  </si>
  <si>
    <t>KITE</t>
  </si>
  <si>
    <t>LICE</t>
  </si>
  <si>
    <t>MEASLES</t>
  </si>
  <si>
    <t>MUD</t>
  </si>
  <si>
    <t>NORMAL</t>
  </si>
  <si>
    <t>OCCUR</t>
  </si>
  <si>
    <t>OWL</t>
  </si>
  <si>
    <t>OWNERSHIP</t>
  </si>
  <si>
    <t>PERFORMANCE</t>
  </si>
  <si>
    <t>PLUM</t>
  </si>
  <si>
    <t>ROUND</t>
  </si>
  <si>
    <t>VEAL</t>
  </si>
  <si>
    <t>WENT</t>
  </si>
  <si>
    <t>WINTER</t>
  </si>
  <si>
    <t>ZERO</t>
  </si>
  <si>
    <t>TULIP</t>
  </si>
  <si>
    <t>AUDIENCE</t>
  </si>
  <si>
    <t>HAM</t>
  </si>
  <si>
    <t>REST</t>
  </si>
  <si>
    <t>SWIMMING</t>
  </si>
  <si>
    <t>TWINKLE</t>
  </si>
  <si>
    <t>ALERT</t>
  </si>
  <si>
    <t>ALIVE</t>
  </si>
  <si>
    <t>BEDROOM</t>
  </si>
  <si>
    <t>EAGLE</t>
  </si>
  <si>
    <t>ESSAY</t>
  </si>
  <si>
    <t>LIT</t>
  </si>
  <si>
    <t>MATCHSTICK</t>
  </si>
  <si>
    <t>NECKLACE</t>
  </si>
  <si>
    <t>PAIN</t>
  </si>
  <si>
    <t>RABBIT</t>
  </si>
  <si>
    <t>RECENT</t>
  </si>
  <si>
    <t>ROLLING</t>
  </si>
  <si>
    <t>SOCIETY</t>
  </si>
  <si>
    <t>UNSUCCESSFUL</t>
  </si>
  <si>
    <t>ANT</t>
  </si>
  <si>
    <t>BANG</t>
  </si>
  <si>
    <t>GONE</t>
  </si>
  <si>
    <t>GYMNASTICS</t>
  </si>
  <si>
    <t>HARP</t>
  </si>
  <si>
    <t>HORSE</t>
  </si>
  <si>
    <t>LEARNING</t>
  </si>
  <si>
    <t>LITERATURE</t>
  </si>
  <si>
    <t>LOBSTER</t>
  </si>
  <si>
    <t>MISTAKEN</t>
  </si>
  <si>
    <t>MONTH</t>
  </si>
  <si>
    <t>NOSE</t>
  </si>
  <si>
    <t>PORK</t>
  </si>
  <si>
    <t>PURCHASE</t>
  </si>
  <si>
    <t>RIDDLE</t>
  </si>
  <si>
    <t>SCISSORS</t>
  </si>
  <si>
    <t>SQUARE</t>
  </si>
  <si>
    <t>TIN</t>
  </si>
  <si>
    <t>VALLEY</t>
  </si>
  <si>
    <t>VERDICT</t>
  </si>
  <si>
    <t>WEALTHY</t>
  </si>
  <si>
    <t>WRONG</t>
  </si>
  <si>
    <t>ALGAE</t>
  </si>
  <si>
    <t>BABY</t>
  </si>
  <si>
    <t>BACTERIA</t>
  </si>
  <si>
    <t>BEAUTICIAN</t>
  </si>
  <si>
    <t>BOAT</t>
  </si>
  <si>
    <t>BUYER</t>
  </si>
  <si>
    <t>CAMP</t>
  </si>
  <si>
    <t>CEILING</t>
  </si>
  <si>
    <t>CIDER</t>
  </si>
  <si>
    <t>CITY</t>
  </si>
  <si>
    <t>CLEAN</t>
  </si>
  <si>
    <t>COAST</t>
  </si>
  <si>
    <t>CREATURE</t>
  </si>
  <si>
    <t>CREW</t>
  </si>
  <si>
    <t>FIREPLACE</t>
  </si>
  <si>
    <t>FISHING</t>
  </si>
  <si>
    <t>FOREST</t>
  </si>
  <si>
    <t>GASP</t>
  </si>
  <si>
    <t>JEWEL</t>
  </si>
  <si>
    <t>KIND</t>
  </si>
  <si>
    <t>KITTEN</t>
  </si>
  <si>
    <t>MIST</t>
  </si>
  <si>
    <t>NICE</t>
  </si>
  <si>
    <t>NUN</t>
  </si>
  <si>
    <t>ORANGE</t>
  </si>
  <si>
    <t>PANTS</t>
  </si>
  <si>
    <t>SHRIMP</t>
  </si>
  <si>
    <t>SINGLE</t>
  </si>
  <si>
    <t>SLAP</t>
  </si>
  <si>
    <t>SOCK</t>
  </si>
  <si>
    <t>SQUIRREL</t>
  </si>
  <si>
    <t>STOVE</t>
  </si>
  <si>
    <t>STRENGTH</t>
  </si>
  <si>
    <t>SUMMER</t>
  </si>
  <si>
    <t>TEACH</t>
  </si>
  <si>
    <t>TREE</t>
  </si>
  <si>
    <t>VIOLIN</t>
  </si>
  <si>
    <t>VOLCANO</t>
  </si>
  <si>
    <t>WEIRD</t>
  </si>
  <si>
    <t>probe</t>
  </si>
  <si>
    <t>grid</t>
  </si>
  <si>
    <t>prt</t>
  </si>
  <si>
    <t>pacc</t>
  </si>
  <si>
    <t>grt</t>
  </si>
  <si>
    <t>gacc</t>
  </si>
  <si>
    <t>mrt</t>
  </si>
  <si>
    <t>macc</t>
  </si>
  <si>
    <t>mrtsd</t>
  </si>
  <si>
    <t>maccsd</t>
  </si>
  <si>
    <t>prtsd</t>
  </si>
  <si>
    <t>paccsd</t>
  </si>
  <si>
    <t>grtsd</t>
  </si>
  <si>
    <t>gaccsd</t>
  </si>
  <si>
    <t>diff</t>
  </si>
  <si>
    <t>pairing_score</t>
  </si>
  <si>
    <t>rt_pairing_score</t>
  </si>
  <si>
    <t>acc_pairing_score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</si>
</sst>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ill="1"/>
    <xf numFmtId="0" fontId="1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0" xfId="0" applyNumberFormat="1" applyAlignment="1">
      <alignment horizontal="center"/>
    </xf>
    <xf numFmtId="0" fontId="0" fillId="0" borderId="0" xfId="0" applyNumberForma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22"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9" name="Table810" displayName="Table810" ref="A1:R411" totalsRowShown="0" headerRowDxfId="19">
  <autoFilter ref="A1:R411"/>
  <sortState ref="A2:O411">
    <sortCondition descending="1" ref="O1:O411"/>
  </sortState>
  <tableColumns count="18">
    <tableColumn id="1" name="probe"/>
    <tableColumn id="2" name="prt" dataDxfId="18"/>
    <tableColumn id="3" name="prtsd" dataDxfId="17"/>
    <tableColumn id="4" name="pacc" dataDxfId="16"/>
    <tableColumn id="5" name="paccsd" dataDxfId="15"/>
    <tableColumn id="6" name="grid" dataDxfId="14"/>
    <tableColumn id="7" name="grt" dataDxfId="13"/>
    <tableColumn id="8" name="grtsd" dataDxfId="12"/>
    <tableColumn id="9" name="gacc" dataDxfId="11"/>
    <tableColumn id="10" name="gaccsd" dataDxfId="10"/>
    <tableColumn id="11" name="mrt" dataDxfId="9">
      <calculatedColumnFormula>(B2+Table810[[#This Row],[grt]])/2</calculatedColumnFormula>
    </tableColumn>
    <tableColumn id="12" name="mrtsd" dataDxfId="8">
      <calculatedColumnFormula>(Table810[[#This Row],[prtsd]]+Table810[[#This Row],[grtsd]])/2</calculatedColumnFormula>
    </tableColumn>
    <tableColumn id="13" name="macc" dataDxfId="7">
      <calculatedColumnFormula>(Table810[[#This Row],[pacc]]+Table810[[#This Row],[gacc]])/2</calculatedColumnFormula>
    </tableColumn>
    <tableColumn id="14" name="maccsd" dataDxfId="6">
      <calculatedColumnFormula>(Table810[[#This Row],[paccsd]]+Table810[[#This Row],[gaccsd]])/2</calculatedColumnFormula>
    </tableColumn>
    <tableColumn id="15" name="diff" dataDxfId="4">
      <calculatedColumnFormula>Table810[[#This Row],[mrt]]-(Table810[[#This Row],[macc]]*1000)</calculatedColumnFormula>
    </tableColumn>
    <tableColumn id="16" name="rt_pairing_score" dataDxfId="2">
      <calculatedColumnFormula>(Table810[[#This Row],[prt]]-Table810[[#This Row],[grt]])</calculatedColumnFormula>
    </tableColumn>
    <tableColumn id="17" name="acc_pairing_score" dataDxfId="3">
      <calculatedColumnFormula>Table810[[#This Row],[pacc]]-Table810[[#This Row],[gacc]]</calculatedColumnFormula>
    </tableColumn>
    <tableColumn id="18" name="pairing_score" dataDxfId="5">
      <calculatedColumnFormula>Table810[[#This Row],[rt_pairing_score]]-Table810[[#This Row],[acc_pairing_score]]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1"/>
  <sheetViews>
    <sheetView tabSelected="1" workbookViewId="0">
      <selection activeCell="J4" sqref="J4"/>
    </sheetView>
  </sheetViews>
  <sheetFormatPr defaultRowHeight="15" x14ac:dyDescent="0.25"/>
  <cols>
    <col min="1" max="1" width="17.5703125" customWidth="1"/>
    <col min="5" max="5" width="9.7109375" customWidth="1"/>
    <col min="10" max="10" width="9.5703125" customWidth="1"/>
    <col min="14" max="14" width="10.28515625" customWidth="1"/>
    <col min="16" max="16" width="19.140625" style="4" customWidth="1"/>
    <col min="17" max="17" width="21.7109375" customWidth="1"/>
    <col min="18" max="18" width="24" customWidth="1"/>
  </cols>
  <sheetData>
    <row r="1" spans="1:18" ht="15.75" x14ac:dyDescent="0.25">
      <c r="A1" s="2" t="s">
        <v>410</v>
      </c>
      <c r="B1" s="2" t="s">
        <v>412</v>
      </c>
      <c r="C1" s="2" t="s">
        <v>420</v>
      </c>
      <c r="D1" s="2" t="s">
        <v>413</v>
      </c>
      <c r="E1" s="2" t="s">
        <v>421</v>
      </c>
      <c r="F1" s="2" t="s">
        <v>411</v>
      </c>
      <c r="G1" s="2" t="s">
        <v>414</v>
      </c>
      <c r="H1" s="2" t="s">
        <v>422</v>
      </c>
      <c r="I1" s="2" t="s">
        <v>415</v>
      </c>
      <c r="J1" s="2" t="s">
        <v>423</v>
      </c>
      <c r="K1" s="2" t="s">
        <v>416</v>
      </c>
      <c r="L1" s="5" t="s">
        <v>418</v>
      </c>
      <c r="M1" s="5" t="s">
        <v>417</v>
      </c>
      <c r="N1" s="5" t="s">
        <v>419</v>
      </c>
      <c r="O1" s="5" t="s">
        <v>424</v>
      </c>
      <c r="P1" s="10" t="s">
        <v>426</v>
      </c>
      <c r="Q1" s="3" t="s">
        <v>427</v>
      </c>
      <c r="R1" s="3" t="s">
        <v>425</v>
      </c>
    </row>
    <row r="2" spans="1:18" x14ac:dyDescent="0.25">
      <c r="A2" t="s">
        <v>31</v>
      </c>
      <c r="B2" s="1">
        <v>3207.2653059999998</v>
      </c>
      <c r="C2" s="1">
        <v>748.74216120000006</v>
      </c>
      <c r="D2" s="1">
        <v>0.64</v>
      </c>
      <c r="E2" s="1">
        <v>0.48487322100000002</v>
      </c>
      <c r="F2" s="1">
        <v>898</v>
      </c>
      <c r="G2" s="1">
        <v>3046.1904760000002</v>
      </c>
      <c r="H2" s="1">
        <v>742.72981130000005</v>
      </c>
      <c r="I2" s="1">
        <v>0.60416666699999999</v>
      </c>
      <c r="J2" s="1">
        <v>0.49420399500000001</v>
      </c>
      <c r="K2" s="1">
        <f>(B2+Table810[[#This Row],[grt]])/2</f>
        <v>3126.727891</v>
      </c>
      <c r="L2" s="1">
        <f>(Table810[[#This Row],[prtsd]]+Table810[[#This Row],[grtsd]])/2</f>
        <v>745.73598625</v>
      </c>
      <c r="M2" s="1">
        <f>(Table810[[#This Row],[pacc]]+Table810[[#This Row],[gacc]])/2</f>
        <v>0.6220833335</v>
      </c>
      <c r="N2" s="1">
        <f>(Table810[[#This Row],[paccsd]]+Table810[[#This Row],[gaccsd]])/2</f>
        <v>0.48953860800000004</v>
      </c>
      <c r="O2">
        <f>Table810[[#This Row],[mrt]]-(Table810[[#This Row],[macc]]*1000)</f>
        <v>2504.6445574999998</v>
      </c>
      <c r="P2" s="9">
        <f>(Table810[[#This Row],[prt]]-Table810[[#This Row],[grt]])</f>
        <v>161.07482999999957</v>
      </c>
      <c r="Q2" s="8">
        <f>Table810[[#This Row],[pacc]]-Table810[[#This Row],[gacc]]</f>
        <v>3.5833333000000023E-2</v>
      </c>
      <c r="R2" s="8">
        <f>Table810[[#This Row],[rt_pairing_score]]-Table810[[#This Row],[acc_pairing_score]]</f>
        <v>161.03899666699957</v>
      </c>
    </row>
    <row r="3" spans="1:18" x14ac:dyDescent="0.25">
      <c r="A3" t="s">
        <v>36</v>
      </c>
      <c r="B3" s="1">
        <v>3045.9545450000001</v>
      </c>
      <c r="C3" s="1">
        <v>757.80714720000003</v>
      </c>
      <c r="D3" s="1">
        <v>0.653061224</v>
      </c>
      <c r="E3" s="1">
        <v>0.48092880700000001</v>
      </c>
      <c r="F3" s="1">
        <v>949</v>
      </c>
      <c r="G3" s="1">
        <v>3009.7674419999998</v>
      </c>
      <c r="H3" s="1">
        <v>753.10780980000004</v>
      </c>
      <c r="I3" s="1">
        <v>0.6875</v>
      </c>
      <c r="J3" s="1">
        <v>0.46841743499999999</v>
      </c>
      <c r="K3" s="1">
        <f>(B3+Table810[[#This Row],[grt]])/2</f>
        <v>3027.8609934999999</v>
      </c>
      <c r="L3" s="1">
        <f>(Table810[[#This Row],[prtsd]]+Table810[[#This Row],[grtsd]])/2</f>
        <v>755.45747849999998</v>
      </c>
      <c r="M3" s="1">
        <f>(Table810[[#This Row],[pacc]]+Table810[[#This Row],[gacc]])/2</f>
        <v>0.670280612</v>
      </c>
      <c r="N3" s="1">
        <f>(Table810[[#This Row],[paccsd]]+Table810[[#This Row],[gaccsd]])/2</f>
        <v>0.47467312100000003</v>
      </c>
      <c r="O3">
        <f>Table810[[#This Row],[mrt]]-(Table810[[#This Row],[macc]]*1000)</f>
        <v>2357.5803814999999</v>
      </c>
      <c r="P3" s="9">
        <f>(Table810[[#This Row],[prt]]-Table810[[#This Row],[grt]])</f>
        <v>36.187103000000207</v>
      </c>
      <c r="Q3" s="8">
        <f>Table810[[#This Row],[pacc]]-Table810[[#This Row],[gacc]]</f>
        <v>-3.4438776000000004E-2</v>
      </c>
      <c r="R3" s="8">
        <f>Table810[[#This Row],[rt_pairing_score]]-Table810[[#This Row],[acc_pairing_score]]</f>
        <v>36.221541776000208</v>
      </c>
    </row>
    <row r="4" spans="1:18" x14ac:dyDescent="0.25">
      <c r="A4" t="s">
        <v>1</v>
      </c>
      <c r="B4" s="1">
        <v>2827.4888890000002</v>
      </c>
      <c r="C4" s="1">
        <v>753.42857600000002</v>
      </c>
      <c r="D4" s="1">
        <v>0.47916666699999999</v>
      </c>
      <c r="E4" s="1">
        <v>0.50485234099999998</v>
      </c>
      <c r="F4" s="1">
        <v>861</v>
      </c>
      <c r="G4" s="1">
        <v>2836.9555559999999</v>
      </c>
      <c r="H4" s="1">
        <v>755.85261779999996</v>
      </c>
      <c r="I4" s="1">
        <v>0.57446808500000002</v>
      </c>
      <c r="J4" s="1">
        <v>0.49976867899999999</v>
      </c>
      <c r="K4" s="1">
        <f>(B4+Table810[[#This Row],[grt]])/2</f>
        <v>2832.2222225</v>
      </c>
      <c r="L4" s="1">
        <f>(Table810[[#This Row],[prtsd]]+Table810[[#This Row],[grtsd]])/2</f>
        <v>754.64059689999999</v>
      </c>
      <c r="M4" s="1">
        <f>(Table810[[#This Row],[pacc]]+Table810[[#This Row],[gacc]])/2</f>
        <v>0.526817376</v>
      </c>
      <c r="N4" s="1">
        <f>(Table810[[#This Row],[paccsd]]+Table810[[#This Row],[gaccsd]])/2</f>
        <v>0.50231051000000004</v>
      </c>
      <c r="O4">
        <f>Table810[[#This Row],[mrt]]-(Table810[[#This Row],[macc]]*1000)</f>
        <v>2305.4048465000001</v>
      </c>
      <c r="P4" s="9">
        <f>(Table810[[#This Row],[prt]]-Table810[[#This Row],[grt]])</f>
        <v>-9.4666669999996884</v>
      </c>
      <c r="Q4" s="8">
        <f>Table810[[#This Row],[pacc]]-Table810[[#This Row],[gacc]]</f>
        <v>-9.5301418000000027E-2</v>
      </c>
      <c r="R4" s="8">
        <f>Table810[[#This Row],[rt_pairing_score]]-Table810[[#This Row],[acc_pairing_score]]</f>
        <v>-9.3713655819996884</v>
      </c>
    </row>
    <row r="5" spans="1:18" x14ac:dyDescent="0.25">
      <c r="A5" t="s">
        <v>38</v>
      </c>
      <c r="B5" s="1">
        <v>2879.416667</v>
      </c>
      <c r="C5" s="1">
        <v>905.53745260000005</v>
      </c>
      <c r="D5" s="1">
        <v>0.66</v>
      </c>
      <c r="E5" s="1">
        <v>0.47851812100000002</v>
      </c>
      <c r="F5" s="1">
        <v>957</v>
      </c>
      <c r="G5" s="1">
        <v>2862.2553189999999</v>
      </c>
      <c r="H5" s="1">
        <v>915.77533010000002</v>
      </c>
      <c r="I5" s="1">
        <v>0.47916666699999999</v>
      </c>
      <c r="J5" s="1">
        <v>0.50485234099999998</v>
      </c>
      <c r="K5" s="1">
        <f>(B5+Table810[[#This Row],[grt]])/2</f>
        <v>2870.8359929999997</v>
      </c>
      <c r="L5" s="1">
        <f>(Table810[[#This Row],[prtsd]]+Table810[[#This Row],[grtsd]])/2</f>
        <v>910.65639135000004</v>
      </c>
      <c r="M5" s="1">
        <f>(Table810[[#This Row],[pacc]]+Table810[[#This Row],[gacc]])/2</f>
        <v>0.56958333350000001</v>
      </c>
      <c r="N5" s="1">
        <f>(Table810[[#This Row],[paccsd]]+Table810[[#This Row],[gaccsd]])/2</f>
        <v>0.491685231</v>
      </c>
      <c r="O5">
        <f>Table810[[#This Row],[mrt]]-(Table810[[#This Row],[macc]]*1000)</f>
        <v>2301.2526594999999</v>
      </c>
      <c r="P5" s="9">
        <f>(Table810[[#This Row],[prt]]-Table810[[#This Row],[grt]])</f>
        <v>17.161348000000089</v>
      </c>
      <c r="Q5" s="8">
        <f>Table810[[#This Row],[pacc]]-Table810[[#This Row],[gacc]]</f>
        <v>0.18083333300000004</v>
      </c>
      <c r="R5" s="8">
        <f>Table810[[#This Row],[rt_pairing_score]]-Table810[[#This Row],[acc_pairing_score]]</f>
        <v>16.98051466700009</v>
      </c>
    </row>
    <row r="6" spans="1:18" x14ac:dyDescent="0.25">
      <c r="A6" t="s">
        <v>20</v>
      </c>
      <c r="B6" s="1">
        <v>2961.8571430000002</v>
      </c>
      <c r="C6" s="1">
        <v>802.04491250000001</v>
      </c>
      <c r="D6" s="1">
        <v>0.591836735</v>
      </c>
      <c r="E6" s="1">
        <v>0.49658699099999998</v>
      </c>
      <c r="F6" s="1">
        <v>946</v>
      </c>
      <c r="G6" s="1">
        <v>2961.4883719999998</v>
      </c>
      <c r="H6" s="1">
        <v>794.3000624</v>
      </c>
      <c r="I6" s="1">
        <v>0.75</v>
      </c>
      <c r="J6" s="1">
        <v>0.43759497400000003</v>
      </c>
      <c r="K6" s="1">
        <f>(B6+Table810[[#This Row],[grt]])/2</f>
        <v>2961.6727575</v>
      </c>
      <c r="L6" s="1">
        <f>(Table810[[#This Row],[prtsd]]+Table810[[#This Row],[grtsd]])/2</f>
        <v>798.17248745000006</v>
      </c>
      <c r="M6" s="1">
        <f>(Table810[[#This Row],[pacc]]+Table810[[#This Row],[gacc]])/2</f>
        <v>0.6709183675</v>
      </c>
      <c r="N6" s="1">
        <f>(Table810[[#This Row],[paccsd]]+Table810[[#This Row],[gaccsd]])/2</f>
        <v>0.46709098250000003</v>
      </c>
      <c r="O6">
        <f>Table810[[#This Row],[mrt]]-(Table810[[#This Row],[macc]]*1000)</f>
        <v>2290.7543900000001</v>
      </c>
      <c r="P6" s="9">
        <f>(Table810[[#This Row],[prt]]-Table810[[#This Row],[grt]])</f>
        <v>0.36877100000037899</v>
      </c>
      <c r="Q6" s="8">
        <f>Table810[[#This Row],[pacc]]-Table810[[#This Row],[gacc]]</f>
        <v>-0.158163265</v>
      </c>
      <c r="R6" s="8">
        <f>Table810[[#This Row],[rt_pairing_score]]-Table810[[#This Row],[acc_pairing_score]]</f>
        <v>0.52693426500037899</v>
      </c>
    </row>
    <row r="7" spans="1:18" x14ac:dyDescent="0.25">
      <c r="A7" t="s">
        <v>8</v>
      </c>
      <c r="B7" s="1">
        <v>2848.354167</v>
      </c>
      <c r="C7" s="1">
        <v>873.23691040000006</v>
      </c>
      <c r="D7" s="1">
        <v>0.54</v>
      </c>
      <c r="E7" s="1">
        <v>0.50345743399999998</v>
      </c>
      <c r="F7" s="1">
        <v>381</v>
      </c>
      <c r="G7" s="1">
        <v>2877.4347830000002</v>
      </c>
      <c r="H7" s="1">
        <v>875.68471369999997</v>
      </c>
      <c r="I7" s="1">
        <v>0.72916666699999999</v>
      </c>
      <c r="J7" s="1">
        <v>0.44909285999999998</v>
      </c>
      <c r="K7" s="1">
        <f>(B7+Table810[[#This Row],[grt]])/2</f>
        <v>2862.8944750000001</v>
      </c>
      <c r="L7" s="1">
        <f>(Table810[[#This Row],[prtsd]]+Table810[[#This Row],[grtsd]])/2</f>
        <v>874.46081204999996</v>
      </c>
      <c r="M7" s="1">
        <f>(Table810[[#This Row],[pacc]]+Table810[[#This Row],[gacc]])/2</f>
        <v>0.63458333349999996</v>
      </c>
      <c r="N7" s="1">
        <f>(Table810[[#This Row],[paccsd]]+Table810[[#This Row],[gaccsd]])/2</f>
        <v>0.47627514699999995</v>
      </c>
      <c r="O7">
        <f>Table810[[#This Row],[mrt]]-(Table810[[#This Row],[macc]]*1000)</f>
        <v>2228.3111415000003</v>
      </c>
      <c r="P7" s="9">
        <f>(Table810[[#This Row],[prt]]-Table810[[#This Row],[grt]])</f>
        <v>-29.080616000000191</v>
      </c>
      <c r="Q7" s="8">
        <f>Table810[[#This Row],[pacc]]-Table810[[#This Row],[gacc]]</f>
        <v>-0.18916666699999996</v>
      </c>
      <c r="R7" s="8">
        <f>Table810[[#This Row],[rt_pairing_score]]-Table810[[#This Row],[acc_pairing_score]]</f>
        <v>-28.891449333000192</v>
      </c>
    </row>
    <row r="8" spans="1:18" x14ac:dyDescent="0.25">
      <c r="A8" t="s">
        <v>18</v>
      </c>
      <c r="B8" s="1">
        <v>2907.6808510000001</v>
      </c>
      <c r="C8" s="1">
        <v>795.30448379999996</v>
      </c>
      <c r="D8" s="1">
        <v>0.591836735</v>
      </c>
      <c r="E8" s="1">
        <v>0.49658699099999998</v>
      </c>
      <c r="F8" s="1">
        <v>973</v>
      </c>
      <c r="G8" s="1">
        <v>2938.7555560000001</v>
      </c>
      <c r="H8" s="1">
        <v>787.36468260000004</v>
      </c>
      <c r="I8" s="1">
        <v>0.8125</v>
      </c>
      <c r="J8" s="1">
        <v>0.39444277999999999</v>
      </c>
      <c r="K8" s="1">
        <f>(B8+Table810[[#This Row],[grt]])/2</f>
        <v>2923.2182035000001</v>
      </c>
      <c r="L8" s="1">
        <f>(Table810[[#This Row],[prtsd]]+Table810[[#This Row],[grtsd]])/2</f>
        <v>791.3345832</v>
      </c>
      <c r="M8" s="1">
        <f>(Table810[[#This Row],[pacc]]+Table810[[#This Row],[gacc]])/2</f>
        <v>0.7021683675</v>
      </c>
      <c r="N8" s="1">
        <f>(Table810[[#This Row],[paccsd]]+Table810[[#This Row],[gaccsd]])/2</f>
        <v>0.44551488549999996</v>
      </c>
      <c r="O8">
        <f>Table810[[#This Row],[mrt]]-(Table810[[#This Row],[macc]]*1000)</f>
        <v>2221.0498360000001</v>
      </c>
      <c r="P8" s="9">
        <f>(Table810[[#This Row],[prt]]-Table810[[#This Row],[grt]])</f>
        <v>-31.074704999999994</v>
      </c>
      <c r="Q8" s="8">
        <f>Table810[[#This Row],[pacc]]-Table810[[#This Row],[gacc]]</f>
        <v>-0.220663265</v>
      </c>
      <c r="R8" s="8">
        <f>Table810[[#This Row],[rt_pairing_score]]-Table810[[#This Row],[acc_pairing_score]]</f>
        <v>-30.854041734999996</v>
      </c>
    </row>
    <row r="9" spans="1:18" x14ac:dyDescent="0.25">
      <c r="A9" t="s">
        <v>9</v>
      </c>
      <c r="B9" s="1">
        <v>2808.5510199999999</v>
      </c>
      <c r="C9" s="1">
        <v>742.18458680000003</v>
      </c>
      <c r="D9" s="1">
        <v>0.54</v>
      </c>
      <c r="E9" s="1">
        <v>0.50345743399999998</v>
      </c>
      <c r="F9" s="1">
        <v>782</v>
      </c>
      <c r="G9" s="1">
        <v>2799.086957</v>
      </c>
      <c r="H9" s="1">
        <v>741.09147210000003</v>
      </c>
      <c r="I9" s="1">
        <v>0.68085106399999995</v>
      </c>
      <c r="J9" s="1">
        <v>0.47118642900000002</v>
      </c>
      <c r="K9" s="1">
        <f>(B9+Table810[[#This Row],[grt]])/2</f>
        <v>2803.8189885000002</v>
      </c>
      <c r="L9" s="1">
        <f>(Table810[[#This Row],[prtsd]]+Table810[[#This Row],[grtsd]])/2</f>
        <v>741.63802944999998</v>
      </c>
      <c r="M9" s="1">
        <f>(Table810[[#This Row],[pacc]]+Table810[[#This Row],[gacc]])/2</f>
        <v>0.61042553200000005</v>
      </c>
      <c r="N9" s="1">
        <f>(Table810[[#This Row],[paccsd]]+Table810[[#This Row],[gaccsd]])/2</f>
        <v>0.48732193150000003</v>
      </c>
      <c r="O9">
        <f>Table810[[#This Row],[mrt]]-(Table810[[#This Row],[macc]]*1000)</f>
        <v>2193.3934565</v>
      </c>
      <c r="P9" s="9">
        <f>(Table810[[#This Row],[prt]]-Table810[[#This Row],[grt]])</f>
        <v>9.4640629999998964</v>
      </c>
      <c r="Q9" s="8">
        <f>Table810[[#This Row],[pacc]]-Table810[[#This Row],[gacc]]</f>
        <v>-0.14085106399999991</v>
      </c>
      <c r="R9" s="8">
        <f>Table810[[#This Row],[rt_pairing_score]]-Table810[[#This Row],[acc_pairing_score]]</f>
        <v>9.604914063999896</v>
      </c>
    </row>
    <row r="10" spans="1:18" x14ac:dyDescent="0.25">
      <c r="A10" t="s">
        <v>32</v>
      </c>
      <c r="B10" s="1">
        <v>2813.183673</v>
      </c>
      <c r="C10" s="1">
        <v>751.34334339999998</v>
      </c>
      <c r="D10" s="1">
        <v>0.64</v>
      </c>
      <c r="E10" s="1">
        <v>0.48487322100000002</v>
      </c>
      <c r="F10" s="1">
        <v>934</v>
      </c>
      <c r="G10" s="1">
        <v>2814.5777779999999</v>
      </c>
      <c r="H10" s="1">
        <v>746.50770220000004</v>
      </c>
      <c r="I10" s="1">
        <v>0.625</v>
      </c>
      <c r="J10" s="1">
        <v>0.48924605500000001</v>
      </c>
      <c r="K10" s="1">
        <f>(B10+Table810[[#This Row],[grt]])/2</f>
        <v>2813.8807255000002</v>
      </c>
      <c r="L10" s="1">
        <f>(Table810[[#This Row],[prtsd]]+Table810[[#This Row],[grtsd]])/2</f>
        <v>748.92552279999995</v>
      </c>
      <c r="M10" s="1">
        <f>(Table810[[#This Row],[pacc]]+Table810[[#This Row],[gacc]])/2</f>
        <v>0.63250000000000006</v>
      </c>
      <c r="N10" s="1">
        <f>(Table810[[#This Row],[paccsd]]+Table810[[#This Row],[gaccsd]])/2</f>
        <v>0.48705963800000002</v>
      </c>
      <c r="O10">
        <f>Table810[[#This Row],[mrt]]-(Table810[[#This Row],[macc]]*1000)</f>
        <v>2181.3807255000002</v>
      </c>
      <c r="P10" s="9">
        <f>(Table810[[#This Row],[prt]]-Table810[[#This Row],[grt]])</f>
        <v>-1.394104999999854</v>
      </c>
      <c r="Q10" s="8">
        <f>Table810[[#This Row],[pacc]]-Table810[[#This Row],[gacc]]</f>
        <v>1.5000000000000013E-2</v>
      </c>
      <c r="R10" s="8">
        <f>Table810[[#This Row],[rt_pairing_score]]-Table810[[#This Row],[acc_pairing_score]]</f>
        <v>-1.4091049999998542</v>
      </c>
    </row>
    <row r="11" spans="1:18" x14ac:dyDescent="0.25">
      <c r="A11" t="s">
        <v>77</v>
      </c>
      <c r="B11" s="1">
        <v>2809.311111</v>
      </c>
      <c r="C11" s="1">
        <v>835.56346859999996</v>
      </c>
      <c r="D11" s="1">
        <v>0.77083333300000001</v>
      </c>
      <c r="E11" s="1">
        <v>0.424744395</v>
      </c>
      <c r="F11" s="1">
        <v>734</v>
      </c>
      <c r="G11" s="1">
        <v>2806.7954549999999</v>
      </c>
      <c r="H11" s="1">
        <v>833.17285340000001</v>
      </c>
      <c r="I11" s="1">
        <v>0.51063829800000005</v>
      </c>
      <c r="J11" s="1">
        <v>0.50529115300000005</v>
      </c>
      <c r="K11" s="1">
        <f>(B11+Table810[[#This Row],[grt]])/2</f>
        <v>2808.0532830000002</v>
      </c>
      <c r="L11" s="1">
        <f>(Table810[[#This Row],[prtsd]]+Table810[[#This Row],[grtsd]])/2</f>
        <v>834.36816099999999</v>
      </c>
      <c r="M11" s="1">
        <f>(Table810[[#This Row],[pacc]]+Table810[[#This Row],[gacc]])/2</f>
        <v>0.64073581550000003</v>
      </c>
      <c r="N11" s="1">
        <f>(Table810[[#This Row],[paccsd]]+Table810[[#This Row],[gaccsd]])/2</f>
        <v>0.46501777399999999</v>
      </c>
      <c r="O11">
        <f>Table810[[#This Row],[mrt]]-(Table810[[#This Row],[macc]]*1000)</f>
        <v>2167.3174675</v>
      </c>
      <c r="P11" s="9">
        <f>(Table810[[#This Row],[prt]]-Table810[[#This Row],[grt]])</f>
        <v>2.5156560000000354</v>
      </c>
      <c r="Q11" s="8">
        <f>Table810[[#This Row],[pacc]]-Table810[[#This Row],[gacc]]</f>
        <v>0.26019503499999996</v>
      </c>
      <c r="R11" s="8">
        <f>Table810[[#This Row],[rt_pairing_score]]-Table810[[#This Row],[acc_pairing_score]]</f>
        <v>2.2554609650000357</v>
      </c>
    </row>
    <row r="12" spans="1:18" x14ac:dyDescent="0.25">
      <c r="A12" t="s">
        <v>25</v>
      </c>
      <c r="B12" s="1">
        <v>2833.5</v>
      </c>
      <c r="C12" s="1">
        <v>730.74482550000005</v>
      </c>
      <c r="D12" s="1">
        <v>0.61224489800000004</v>
      </c>
      <c r="E12" s="1">
        <v>0.49228745499999998</v>
      </c>
      <c r="F12" s="1">
        <v>628</v>
      </c>
      <c r="G12" s="1">
        <v>2823.5609760000002</v>
      </c>
      <c r="H12" s="1">
        <v>743.46839369999998</v>
      </c>
      <c r="I12" s="1">
        <v>0.71739130399999995</v>
      </c>
      <c r="J12" s="1">
        <v>0.45524320600000001</v>
      </c>
      <c r="K12" s="1">
        <f>(B12+Table810[[#This Row],[grt]])/2</f>
        <v>2828.5304880000003</v>
      </c>
      <c r="L12" s="1">
        <f>(Table810[[#This Row],[prtsd]]+Table810[[#This Row],[grtsd]])/2</f>
        <v>737.10660959999996</v>
      </c>
      <c r="M12" s="1">
        <f>(Table810[[#This Row],[pacc]]+Table810[[#This Row],[gacc]])/2</f>
        <v>0.66481810100000005</v>
      </c>
      <c r="N12" s="1">
        <f>(Table810[[#This Row],[paccsd]]+Table810[[#This Row],[gaccsd]])/2</f>
        <v>0.47376533050000003</v>
      </c>
      <c r="O12">
        <f>Table810[[#This Row],[mrt]]-(Table810[[#This Row],[macc]]*1000)</f>
        <v>2163.7123870000005</v>
      </c>
      <c r="P12" s="9">
        <f>(Table810[[#This Row],[prt]]-Table810[[#This Row],[grt]])</f>
        <v>9.9390239999997902</v>
      </c>
      <c r="Q12" s="8">
        <f>Table810[[#This Row],[pacc]]-Table810[[#This Row],[gacc]]</f>
        <v>-0.10514640599999991</v>
      </c>
      <c r="R12" s="8">
        <f>Table810[[#This Row],[rt_pairing_score]]-Table810[[#This Row],[acc_pairing_score]]</f>
        <v>10.04417040599979</v>
      </c>
    </row>
    <row r="13" spans="1:18" x14ac:dyDescent="0.25">
      <c r="A13" t="s">
        <v>7</v>
      </c>
      <c r="B13" s="1">
        <v>2696.2127660000001</v>
      </c>
      <c r="C13" s="1">
        <v>908.38786809999999</v>
      </c>
      <c r="D13" s="1">
        <v>0.53061224500000004</v>
      </c>
      <c r="E13" s="1">
        <v>0.50423377599999997</v>
      </c>
      <c r="F13" s="1">
        <v>903</v>
      </c>
      <c r="G13" s="1">
        <v>2698.0222220000001</v>
      </c>
      <c r="H13" s="1">
        <v>909.22720660000005</v>
      </c>
      <c r="I13" s="1">
        <v>0.54166666699999999</v>
      </c>
      <c r="J13" s="1">
        <v>0.50353361299999999</v>
      </c>
      <c r="K13" s="1">
        <f>(B13+Table810[[#This Row],[grt]])/2</f>
        <v>2697.1174940000001</v>
      </c>
      <c r="L13" s="1">
        <f>(Table810[[#This Row],[prtsd]]+Table810[[#This Row],[grtsd]])/2</f>
        <v>908.80753735000008</v>
      </c>
      <c r="M13" s="1">
        <f>(Table810[[#This Row],[pacc]]+Table810[[#This Row],[gacc]])/2</f>
        <v>0.53613945600000001</v>
      </c>
      <c r="N13" s="1">
        <f>(Table810[[#This Row],[paccsd]]+Table810[[#This Row],[gaccsd]])/2</f>
        <v>0.50388369450000003</v>
      </c>
      <c r="O13">
        <f>Table810[[#This Row],[mrt]]-(Table810[[#This Row],[macc]]*1000)</f>
        <v>2160.9780380000002</v>
      </c>
      <c r="P13" s="9">
        <f>(Table810[[#This Row],[prt]]-Table810[[#This Row],[grt]])</f>
        <v>-1.8094559999999547</v>
      </c>
      <c r="Q13" s="8">
        <f>Table810[[#This Row],[pacc]]-Table810[[#This Row],[gacc]]</f>
        <v>-1.1054421999999953E-2</v>
      </c>
      <c r="R13" s="8">
        <f>Table810[[#This Row],[rt_pairing_score]]-Table810[[#This Row],[acc_pairing_score]]</f>
        <v>-1.7984015779999547</v>
      </c>
    </row>
    <row r="14" spans="1:18" x14ac:dyDescent="0.25">
      <c r="A14" t="s">
        <v>21</v>
      </c>
      <c r="B14" s="1">
        <v>2802.0425530000002</v>
      </c>
      <c r="C14" s="1">
        <v>849.77986810000004</v>
      </c>
      <c r="D14" s="1">
        <v>0.6</v>
      </c>
      <c r="E14" s="1">
        <v>0.49487165900000002</v>
      </c>
      <c r="F14" s="1">
        <v>817</v>
      </c>
      <c r="G14" s="1">
        <v>2814.311111</v>
      </c>
      <c r="H14" s="1">
        <v>855.06559619999996</v>
      </c>
      <c r="I14" s="1">
        <v>0.70833333300000001</v>
      </c>
      <c r="J14" s="1">
        <v>0.45933964300000002</v>
      </c>
      <c r="K14" s="1">
        <f>(B14+Table810[[#This Row],[grt]])/2</f>
        <v>2808.1768320000001</v>
      </c>
      <c r="L14" s="1">
        <f>(Table810[[#This Row],[prtsd]]+Table810[[#This Row],[grtsd]])/2</f>
        <v>852.42273215</v>
      </c>
      <c r="M14" s="1">
        <f>(Table810[[#This Row],[pacc]]+Table810[[#This Row],[gacc]])/2</f>
        <v>0.65416666649999999</v>
      </c>
      <c r="N14" s="1">
        <f>(Table810[[#This Row],[paccsd]]+Table810[[#This Row],[gaccsd]])/2</f>
        <v>0.47710565100000002</v>
      </c>
      <c r="O14">
        <f>Table810[[#This Row],[mrt]]-(Table810[[#This Row],[macc]]*1000)</f>
        <v>2154.0101654999999</v>
      </c>
      <c r="P14" s="9">
        <f>(Table810[[#This Row],[prt]]-Table810[[#This Row],[grt]])</f>
        <v>-12.268557999999757</v>
      </c>
      <c r="Q14" s="8">
        <f>Table810[[#This Row],[pacc]]-Table810[[#This Row],[gacc]]</f>
        <v>-0.10833333300000003</v>
      </c>
      <c r="R14" s="8">
        <f>Table810[[#This Row],[rt_pairing_score]]-Table810[[#This Row],[acc_pairing_score]]</f>
        <v>-12.160224666999756</v>
      </c>
    </row>
    <row r="15" spans="1:18" x14ac:dyDescent="0.25">
      <c r="A15" t="s">
        <v>5</v>
      </c>
      <c r="B15" s="1">
        <v>2766.816327</v>
      </c>
      <c r="C15" s="1">
        <v>716.11052080000002</v>
      </c>
      <c r="D15" s="1">
        <v>0.52</v>
      </c>
      <c r="E15" s="1">
        <v>0.50467205000000004</v>
      </c>
      <c r="F15" s="1">
        <v>994</v>
      </c>
      <c r="G15" s="1">
        <v>2738.9333329999999</v>
      </c>
      <c r="H15" s="1">
        <v>711.72704169999997</v>
      </c>
      <c r="I15" s="1">
        <v>0.68085106399999995</v>
      </c>
      <c r="J15" s="1">
        <v>0.47118642900000002</v>
      </c>
      <c r="K15" s="1">
        <f>(B15+Table810[[#This Row],[grt]])/2</f>
        <v>2752.8748299999997</v>
      </c>
      <c r="L15" s="1">
        <f>(Table810[[#This Row],[prtsd]]+Table810[[#This Row],[grtsd]])/2</f>
        <v>713.91878124999994</v>
      </c>
      <c r="M15" s="1">
        <f>(Table810[[#This Row],[pacc]]+Table810[[#This Row],[gacc]])/2</f>
        <v>0.60042553200000004</v>
      </c>
      <c r="N15" s="1">
        <f>(Table810[[#This Row],[paccsd]]+Table810[[#This Row],[gaccsd]])/2</f>
        <v>0.4879292395</v>
      </c>
      <c r="O15">
        <f>Table810[[#This Row],[mrt]]-(Table810[[#This Row],[macc]]*1000)</f>
        <v>2152.4492979999995</v>
      </c>
      <c r="P15" s="9">
        <f>(Table810[[#This Row],[prt]]-Table810[[#This Row],[grt]])</f>
        <v>27.882994000000053</v>
      </c>
      <c r="Q15" s="8">
        <f>Table810[[#This Row],[pacc]]-Table810[[#This Row],[gacc]]</f>
        <v>-0.16085106399999993</v>
      </c>
      <c r="R15" s="8">
        <f>Table810[[#This Row],[rt_pairing_score]]-Table810[[#This Row],[acc_pairing_score]]</f>
        <v>28.043845064000053</v>
      </c>
    </row>
    <row r="16" spans="1:18" x14ac:dyDescent="0.25">
      <c r="A16" t="s">
        <v>42</v>
      </c>
      <c r="B16" s="1">
        <v>2866.8297870000001</v>
      </c>
      <c r="C16" s="1">
        <v>736.36390219999998</v>
      </c>
      <c r="D16" s="1">
        <v>0.68</v>
      </c>
      <c r="E16" s="1">
        <v>0.47121207100000001</v>
      </c>
      <c r="F16" s="1">
        <v>366</v>
      </c>
      <c r="G16" s="1">
        <v>2917.446809</v>
      </c>
      <c r="H16" s="1">
        <v>741.93553589999999</v>
      </c>
      <c r="I16" s="1">
        <v>0.8125</v>
      </c>
      <c r="J16" s="1">
        <v>0.39444277999999999</v>
      </c>
      <c r="K16" s="1">
        <f>(B16+Table810[[#This Row],[grt]])/2</f>
        <v>2892.1382979999998</v>
      </c>
      <c r="L16" s="1">
        <f>(Table810[[#This Row],[prtsd]]+Table810[[#This Row],[grtsd]])/2</f>
        <v>739.14971904999993</v>
      </c>
      <c r="M16" s="1">
        <f>(Table810[[#This Row],[pacc]]+Table810[[#This Row],[gacc]])/2</f>
        <v>0.74625000000000008</v>
      </c>
      <c r="N16" s="1">
        <f>(Table810[[#This Row],[paccsd]]+Table810[[#This Row],[gaccsd]])/2</f>
        <v>0.43282742549999997</v>
      </c>
      <c r="O16">
        <f>Table810[[#This Row],[mrt]]-(Table810[[#This Row],[macc]]*1000)</f>
        <v>2145.8882979999998</v>
      </c>
      <c r="P16" s="9">
        <f>(Table810[[#This Row],[prt]]-Table810[[#This Row],[grt]])</f>
        <v>-50.617021999999906</v>
      </c>
      <c r="Q16" s="8">
        <f>Table810[[#This Row],[pacc]]-Table810[[#This Row],[gacc]]</f>
        <v>-0.13249999999999995</v>
      </c>
      <c r="R16" s="8">
        <f>Table810[[#This Row],[rt_pairing_score]]-Table810[[#This Row],[acc_pairing_score]]</f>
        <v>-50.484521999999906</v>
      </c>
    </row>
    <row r="17" spans="1:18" x14ac:dyDescent="0.25">
      <c r="A17" t="s">
        <v>17</v>
      </c>
      <c r="B17" s="1">
        <v>2650.7021279999999</v>
      </c>
      <c r="C17" s="1">
        <v>693.95112959999994</v>
      </c>
      <c r="D17" s="1">
        <v>0.591836735</v>
      </c>
      <c r="E17" s="1">
        <v>0.49658699099999998</v>
      </c>
      <c r="F17" s="1">
        <v>651</v>
      </c>
      <c r="G17" s="1">
        <v>2648.4</v>
      </c>
      <c r="H17" s="1">
        <v>695.26072280000005</v>
      </c>
      <c r="I17" s="1">
        <v>0.47916666699999999</v>
      </c>
      <c r="J17" s="1">
        <v>0.50485234099999998</v>
      </c>
      <c r="K17" s="1">
        <f>(B17+Table810[[#This Row],[grt]])/2</f>
        <v>2649.5510640000002</v>
      </c>
      <c r="L17" s="1">
        <f>(Table810[[#This Row],[prtsd]]+Table810[[#This Row],[grtsd]])/2</f>
        <v>694.6059262</v>
      </c>
      <c r="M17" s="1">
        <f>(Table810[[#This Row],[pacc]]+Table810[[#This Row],[gacc]])/2</f>
        <v>0.53550170100000005</v>
      </c>
      <c r="N17" s="1">
        <f>(Table810[[#This Row],[paccsd]]+Table810[[#This Row],[gaccsd]])/2</f>
        <v>0.50071966599999995</v>
      </c>
      <c r="O17">
        <f>Table810[[#This Row],[mrt]]-(Table810[[#This Row],[macc]]*1000)</f>
        <v>2114.0493630000001</v>
      </c>
      <c r="P17" s="9">
        <f>(Table810[[#This Row],[prt]]-Table810[[#This Row],[grt]])</f>
        <v>2.3021279999998114</v>
      </c>
      <c r="Q17" s="8">
        <f>Table810[[#This Row],[pacc]]-Table810[[#This Row],[gacc]]</f>
        <v>0.11267006800000001</v>
      </c>
      <c r="R17" s="8">
        <f>Table810[[#This Row],[rt_pairing_score]]-Table810[[#This Row],[acc_pairing_score]]</f>
        <v>2.1894579319998115</v>
      </c>
    </row>
    <row r="18" spans="1:18" x14ac:dyDescent="0.25">
      <c r="A18" t="s">
        <v>68</v>
      </c>
      <c r="B18" s="1">
        <v>2806.4</v>
      </c>
      <c r="C18" s="1">
        <v>655.77394939999999</v>
      </c>
      <c r="D18" s="1">
        <v>0.74</v>
      </c>
      <c r="E18" s="1">
        <v>0.44308749800000002</v>
      </c>
      <c r="F18" s="1">
        <v>757</v>
      </c>
      <c r="G18" s="1">
        <v>2825.7173910000001</v>
      </c>
      <c r="H18" s="1">
        <v>643.82567219999999</v>
      </c>
      <c r="I18" s="1">
        <v>0.6875</v>
      </c>
      <c r="J18" s="1">
        <v>0.46841743499999999</v>
      </c>
      <c r="K18" s="1">
        <f>(B18+Table810[[#This Row],[grt]])/2</f>
        <v>2816.0586954999999</v>
      </c>
      <c r="L18" s="1">
        <f>(Table810[[#This Row],[prtsd]]+Table810[[#This Row],[grtsd]])/2</f>
        <v>649.79981079999993</v>
      </c>
      <c r="M18" s="1">
        <f>(Table810[[#This Row],[pacc]]+Table810[[#This Row],[gacc]])/2</f>
        <v>0.71375</v>
      </c>
      <c r="N18" s="1">
        <f>(Table810[[#This Row],[paccsd]]+Table810[[#This Row],[gaccsd]])/2</f>
        <v>0.45575246650000001</v>
      </c>
      <c r="O18">
        <f>Table810[[#This Row],[mrt]]-(Table810[[#This Row],[macc]]*1000)</f>
        <v>2102.3086954999999</v>
      </c>
      <c r="P18" s="9">
        <f>(Table810[[#This Row],[prt]]-Table810[[#This Row],[grt]])</f>
        <v>-19.317391000000043</v>
      </c>
      <c r="Q18" s="8">
        <f>Table810[[#This Row],[pacc]]-Table810[[#This Row],[gacc]]</f>
        <v>5.2499999999999991E-2</v>
      </c>
      <c r="R18" s="8">
        <f>Table810[[#This Row],[rt_pairing_score]]-Table810[[#This Row],[acc_pairing_score]]</f>
        <v>-19.369891000000042</v>
      </c>
    </row>
    <row r="19" spans="1:18" x14ac:dyDescent="0.25">
      <c r="A19" t="s">
        <v>52</v>
      </c>
      <c r="B19" s="1">
        <v>2746.2826089999999</v>
      </c>
      <c r="C19" s="1">
        <v>764.2631212</v>
      </c>
      <c r="D19" s="1">
        <v>0.71428571399999996</v>
      </c>
      <c r="E19" s="1">
        <v>0.45643546499999998</v>
      </c>
      <c r="F19" s="1">
        <v>358</v>
      </c>
      <c r="G19" s="1">
        <v>2743.644444</v>
      </c>
      <c r="H19" s="1">
        <v>763.54076980000002</v>
      </c>
      <c r="I19" s="1">
        <v>0.57446808500000002</v>
      </c>
      <c r="J19" s="1">
        <v>0.49976867899999999</v>
      </c>
      <c r="K19" s="1">
        <f>(B19+Table810[[#This Row],[grt]])/2</f>
        <v>2744.9635264999997</v>
      </c>
      <c r="L19" s="1">
        <f>(Table810[[#This Row],[prtsd]]+Table810[[#This Row],[grtsd]])/2</f>
        <v>763.90194550000001</v>
      </c>
      <c r="M19" s="1">
        <f>(Table810[[#This Row],[pacc]]+Table810[[#This Row],[gacc]])/2</f>
        <v>0.64437689949999999</v>
      </c>
      <c r="N19" s="1">
        <f>(Table810[[#This Row],[paccsd]]+Table810[[#This Row],[gaccsd]])/2</f>
        <v>0.47810207199999999</v>
      </c>
      <c r="O19">
        <f>Table810[[#This Row],[mrt]]-(Table810[[#This Row],[macc]]*1000)</f>
        <v>2100.5866269999997</v>
      </c>
      <c r="P19" s="9">
        <f>(Table810[[#This Row],[prt]]-Table810[[#This Row],[grt]])</f>
        <v>2.6381649999998444</v>
      </c>
      <c r="Q19" s="8">
        <f>Table810[[#This Row],[pacc]]-Table810[[#This Row],[gacc]]</f>
        <v>0.13981762899999994</v>
      </c>
      <c r="R19" s="8">
        <f>Table810[[#This Row],[rt_pairing_score]]-Table810[[#This Row],[acc_pairing_score]]</f>
        <v>2.4983473709998445</v>
      </c>
    </row>
    <row r="20" spans="1:18" x14ac:dyDescent="0.25">
      <c r="A20" t="s">
        <v>14</v>
      </c>
      <c r="B20" s="1">
        <v>2725.6956519999999</v>
      </c>
      <c r="C20" s="1">
        <v>707.58323800000005</v>
      </c>
      <c r="D20" s="1">
        <v>0.591836735</v>
      </c>
      <c r="E20" s="1">
        <v>0.49658699099999998</v>
      </c>
      <c r="F20" s="1">
        <v>305</v>
      </c>
      <c r="G20" s="1">
        <v>2733.229167</v>
      </c>
      <c r="H20" s="1">
        <v>711.82086679999998</v>
      </c>
      <c r="I20" s="1">
        <v>0.72916666699999999</v>
      </c>
      <c r="J20" s="1">
        <v>0.44909285999999998</v>
      </c>
      <c r="K20" s="1">
        <f>(B20+Table810[[#This Row],[grt]])/2</f>
        <v>2729.4624094999999</v>
      </c>
      <c r="L20" s="1">
        <f>(Table810[[#This Row],[prtsd]]+Table810[[#This Row],[grtsd]])/2</f>
        <v>709.70205239999996</v>
      </c>
      <c r="M20" s="1">
        <f>(Table810[[#This Row],[pacc]]+Table810[[#This Row],[gacc]])/2</f>
        <v>0.66050170100000005</v>
      </c>
      <c r="N20" s="1">
        <f>(Table810[[#This Row],[paccsd]]+Table810[[#This Row],[gaccsd]])/2</f>
        <v>0.47283992549999998</v>
      </c>
      <c r="O20">
        <f>Table810[[#This Row],[mrt]]-(Table810[[#This Row],[macc]]*1000)</f>
        <v>2068.9607084999998</v>
      </c>
      <c r="P20" s="9">
        <f>(Table810[[#This Row],[prt]]-Table810[[#This Row],[grt]])</f>
        <v>-7.5335150000000795</v>
      </c>
      <c r="Q20" s="8">
        <f>Table810[[#This Row],[pacc]]-Table810[[#This Row],[gacc]]</f>
        <v>-0.13732993199999999</v>
      </c>
      <c r="R20" s="8">
        <f>Table810[[#This Row],[rt_pairing_score]]-Table810[[#This Row],[acc_pairing_score]]</f>
        <v>-7.3961850680000794</v>
      </c>
    </row>
    <row r="21" spans="1:18" x14ac:dyDescent="0.25">
      <c r="A21" t="s">
        <v>2</v>
      </c>
      <c r="B21" s="1">
        <v>2694.7142859999999</v>
      </c>
      <c r="C21" s="1">
        <v>753.85965209999995</v>
      </c>
      <c r="D21" s="1">
        <v>0.48</v>
      </c>
      <c r="E21" s="1">
        <v>0.50467205000000004</v>
      </c>
      <c r="F21" s="1">
        <v>487</v>
      </c>
      <c r="G21" s="1">
        <v>2683.479167</v>
      </c>
      <c r="H21" s="1">
        <v>755.99147210000001</v>
      </c>
      <c r="I21" s="1">
        <v>0.83333333300000001</v>
      </c>
      <c r="J21" s="1">
        <v>0.37662178899999998</v>
      </c>
      <c r="K21" s="1">
        <f>(B21+Table810[[#This Row],[grt]])/2</f>
        <v>2689.0967264999999</v>
      </c>
      <c r="L21" s="1">
        <f>(Table810[[#This Row],[prtsd]]+Table810[[#This Row],[grtsd]])/2</f>
        <v>754.92556209999998</v>
      </c>
      <c r="M21" s="1">
        <f>(Table810[[#This Row],[pacc]]+Table810[[#This Row],[gacc]])/2</f>
        <v>0.65666666650000005</v>
      </c>
      <c r="N21" s="1">
        <f>(Table810[[#This Row],[paccsd]]+Table810[[#This Row],[gaccsd]])/2</f>
        <v>0.44064691950000001</v>
      </c>
      <c r="O21">
        <f>Table810[[#This Row],[mrt]]-(Table810[[#This Row],[macc]]*1000)</f>
        <v>2032.4300599999999</v>
      </c>
      <c r="P21" s="9">
        <f>(Table810[[#This Row],[prt]]-Table810[[#This Row],[grt]])</f>
        <v>11.235118999999941</v>
      </c>
      <c r="Q21" s="8">
        <f>Table810[[#This Row],[pacc]]-Table810[[#This Row],[gacc]]</f>
        <v>-0.35333333300000003</v>
      </c>
      <c r="R21" s="8">
        <f>Table810[[#This Row],[rt_pairing_score]]-Table810[[#This Row],[acc_pairing_score]]</f>
        <v>11.588452332999941</v>
      </c>
    </row>
    <row r="22" spans="1:18" x14ac:dyDescent="0.25">
      <c r="A22" t="s">
        <v>10</v>
      </c>
      <c r="B22" s="1">
        <v>2641.7</v>
      </c>
      <c r="C22" s="1">
        <v>764.45336610000004</v>
      </c>
      <c r="D22" s="1">
        <v>0.54</v>
      </c>
      <c r="E22" s="1">
        <v>0.50345743399999998</v>
      </c>
      <c r="F22" s="1">
        <v>731</v>
      </c>
      <c r="G22" s="1">
        <v>2640.3043480000001</v>
      </c>
      <c r="H22" s="1">
        <v>765.45582260000003</v>
      </c>
      <c r="I22" s="1">
        <v>0.6875</v>
      </c>
      <c r="J22" s="1">
        <v>0.46841743499999999</v>
      </c>
      <c r="K22" s="1">
        <f>(B22+Table810[[#This Row],[grt]])/2</f>
        <v>2641.0021740000002</v>
      </c>
      <c r="L22" s="1">
        <f>(Table810[[#This Row],[prtsd]]+Table810[[#This Row],[grtsd]])/2</f>
        <v>764.95459434999998</v>
      </c>
      <c r="M22" s="1">
        <f>(Table810[[#This Row],[pacc]]+Table810[[#This Row],[gacc]])/2</f>
        <v>0.61375000000000002</v>
      </c>
      <c r="N22" s="1">
        <f>(Table810[[#This Row],[paccsd]]+Table810[[#This Row],[gaccsd]])/2</f>
        <v>0.48593743449999999</v>
      </c>
      <c r="O22">
        <f>Table810[[#This Row],[mrt]]-(Table810[[#This Row],[macc]]*1000)</f>
        <v>2027.2521740000002</v>
      </c>
      <c r="P22" s="9">
        <f>(Table810[[#This Row],[prt]]-Table810[[#This Row],[grt]])</f>
        <v>1.3956519999996999</v>
      </c>
      <c r="Q22" s="8">
        <f>Table810[[#This Row],[pacc]]-Table810[[#This Row],[gacc]]</f>
        <v>-0.14749999999999996</v>
      </c>
      <c r="R22" s="8">
        <f>Table810[[#This Row],[rt_pairing_score]]-Table810[[#This Row],[acc_pairing_score]]</f>
        <v>1.5431519999996999</v>
      </c>
    </row>
    <row r="23" spans="1:18" x14ac:dyDescent="0.25">
      <c r="A23" t="s">
        <v>26</v>
      </c>
      <c r="B23" s="1">
        <v>2688.869565</v>
      </c>
      <c r="C23" s="1">
        <v>793.73588129999996</v>
      </c>
      <c r="D23" s="1">
        <v>0.61224489800000004</v>
      </c>
      <c r="E23" s="1">
        <v>0.49228745499999998</v>
      </c>
      <c r="F23" s="1">
        <v>842</v>
      </c>
      <c r="G23" s="1">
        <v>2674.446809</v>
      </c>
      <c r="H23" s="1">
        <v>795.46991330000003</v>
      </c>
      <c r="I23" s="1">
        <v>0.72916666699999999</v>
      </c>
      <c r="J23" s="1">
        <v>0.44909285999999998</v>
      </c>
      <c r="K23" s="1">
        <f>(B23+Table810[[#This Row],[grt]])/2</f>
        <v>2681.658187</v>
      </c>
      <c r="L23" s="1">
        <f>(Table810[[#This Row],[prtsd]]+Table810[[#This Row],[grtsd]])/2</f>
        <v>794.6028973</v>
      </c>
      <c r="M23" s="1">
        <f>(Table810[[#This Row],[pacc]]+Table810[[#This Row],[gacc]])/2</f>
        <v>0.67070578250000001</v>
      </c>
      <c r="N23" s="1">
        <f>(Table810[[#This Row],[paccsd]]+Table810[[#This Row],[gaccsd]])/2</f>
        <v>0.47069015749999998</v>
      </c>
      <c r="O23">
        <f>Table810[[#This Row],[mrt]]-(Table810[[#This Row],[macc]]*1000)</f>
        <v>2010.9524044999998</v>
      </c>
      <c r="P23" s="9">
        <f>(Table810[[#This Row],[prt]]-Table810[[#This Row],[grt]])</f>
        <v>14.422755999999936</v>
      </c>
      <c r="Q23" s="8">
        <f>Table810[[#This Row],[pacc]]-Table810[[#This Row],[gacc]]</f>
        <v>-0.11692176899999995</v>
      </c>
      <c r="R23" s="8">
        <f>Table810[[#This Row],[rt_pairing_score]]-Table810[[#This Row],[acc_pairing_score]]</f>
        <v>14.539677768999935</v>
      </c>
    </row>
    <row r="24" spans="1:18" x14ac:dyDescent="0.25">
      <c r="A24" t="s">
        <v>6</v>
      </c>
      <c r="B24" s="1">
        <v>2633.8</v>
      </c>
      <c r="C24" s="1">
        <v>754.18984209999996</v>
      </c>
      <c r="D24" s="1">
        <v>0.53061224500000004</v>
      </c>
      <c r="E24" s="1">
        <v>0.50423377599999997</v>
      </c>
      <c r="F24" s="1">
        <v>753</v>
      </c>
      <c r="G24" s="1">
        <v>2620.3478260000002</v>
      </c>
      <c r="H24" s="1">
        <v>755.4485707</v>
      </c>
      <c r="I24" s="1">
        <v>0.72916666699999999</v>
      </c>
      <c r="J24" s="1">
        <v>0.44909285999999998</v>
      </c>
      <c r="K24" s="1">
        <f>(B24+Table810[[#This Row],[grt]])/2</f>
        <v>2627.0739130000002</v>
      </c>
      <c r="L24" s="1">
        <f>(Table810[[#This Row],[prtsd]]+Table810[[#This Row],[grtsd]])/2</f>
        <v>754.81920639999998</v>
      </c>
      <c r="M24" s="1">
        <f>(Table810[[#This Row],[pacc]]+Table810[[#This Row],[gacc]])/2</f>
        <v>0.62988945600000001</v>
      </c>
      <c r="N24" s="1">
        <f>(Table810[[#This Row],[paccsd]]+Table810[[#This Row],[gaccsd]])/2</f>
        <v>0.47666331799999995</v>
      </c>
      <c r="O24">
        <f>Table810[[#This Row],[mrt]]-(Table810[[#This Row],[macc]]*1000)</f>
        <v>1997.1844570000003</v>
      </c>
      <c r="P24" s="9">
        <f>(Table810[[#This Row],[prt]]-Table810[[#This Row],[grt]])</f>
        <v>13.452174000000014</v>
      </c>
      <c r="Q24" s="8">
        <f>Table810[[#This Row],[pacc]]-Table810[[#This Row],[gacc]]</f>
        <v>-0.19855442199999995</v>
      </c>
      <c r="R24" s="8">
        <f>Table810[[#This Row],[rt_pairing_score]]-Table810[[#This Row],[acc_pairing_score]]</f>
        <v>13.650728422000014</v>
      </c>
    </row>
    <row r="25" spans="1:18" x14ac:dyDescent="0.25">
      <c r="A25" t="s">
        <v>37</v>
      </c>
      <c r="B25" s="1">
        <v>2631.9</v>
      </c>
      <c r="C25" s="1">
        <v>839.19677950000005</v>
      </c>
      <c r="D25" s="1">
        <v>0.66</v>
      </c>
      <c r="E25" s="1">
        <v>0.47851812100000002</v>
      </c>
      <c r="F25" s="1">
        <v>338</v>
      </c>
      <c r="G25" s="1">
        <v>2648.9787230000002</v>
      </c>
      <c r="H25" s="1">
        <v>852.02611439999998</v>
      </c>
      <c r="I25" s="1">
        <v>0.66666666699999999</v>
      </c>
      <c r="J25" s="1">
        <v>0.476393067</v>
      </c>
      <c r="K25" s="1">
        <f>(B25+Table810[[#This Row],[grt]])/2</f>
        <v>2640.4393614999999</v>
      </c>
      <c r="L25" s="1">
        <f>(Table810[[#This Row],[prtsd]]+Table810[[#This Row],[grtsd]])/2</f>
        <v>845.61144695000007</v>
      </c>
      <c r="M25" s="1">
        <f>(Table810[[#This Row],[pacc]]+Table810[[#This Row],[gacc]])/2</f>
        <v>0.66333333350000001</v>
      </c>
      <c r="N25" s="1">
        <f>(Table810[[#This Row],[paccsd]]+Table810[[#This Row],[gaccsd]])/2</f>
        <v>0.47745559400000004</v>
      </c>
      <c r="O25">
        <f>Table810[[#This Row],[mrt]]-(Table810[[#This Row],[macc]]*1000)</f>
        <v>1977.1060279999999</v>
      </c>
      <c r="P25" s="9">
        <f>(Table810[[#This Row],[prt]]-Table810[[#This Row],[grt]])</f>
        <v>-17.078723000000082</v>
      </c>
      <c r="Q25" s="8">
        <f>Table810[[#This Row],[pacc]]-Table810[[#This Row],[gacc]]</f>
        <v>-6.6666669999999595E-3</v>
      </c>
      <c r="R25" s="8">
        <f>Table810[[#This Row],[rt_pairing_score]]-Table810[[#This Row],[acc_pairing_score]]</f>
        <v>-17.072056333000081</v>
      </c>
    </row>
    <row r="26" spans="1:18" x14ac:dyDescent="0.25">
      <c r="A26" t="s">
        <v>48</v>
      </c>
      <c r="B26" s="1">
        <v>2654.090909</v>
      </c>
      <c r="C26" s="1">
        <v>760.11424529999999</v>
      </c>
      <c r="D26" s="1">
        <v>0.7</v>
      </c>
      <c r="E26" s="1">
        <v>0.46291005000000002</v>
      </c>
      <c r="F26" s="1">
        <v>788</v>
      </c>
      <c r="G26" s="1">
        <v>2671.4651159999999</v>
      </c>
      <c r="H26" s="1">
        <v>763.86864209999999</v>
      </c>
      <c r="I26" s="1">
        <v>0.68085106399999995</v>
      </c>
      <c r="J26" s="1">
        <v>0.47118642900000002</v>
      </c>
      <c r="K26" s="1">
        <f>(B26+Table810[[#This Row],[grt]])/2</f>
        <v>2662.7780124999999</v>
      </c>
      <c r="L26" s="1">
        <f>(Table810[[#This Row],[prtsd]]+Table810[[#This Row],[grtsd]])/2</f>
        <v>761.99144369999999</v>
      </c>
      <c r="M26" s="1">
        <f>(Table810[[#This Row],[pacc]]+Table810[[#This Row],[gacc]])/2</f>
        <v>0.6904255319999999</v>
      </c>
      <c r="N26" s="1">
        <f>(Table810[[#This Row],[paccsd]]+Table810[[#This Row],[gaccsd]])/2</f>
        <v>0.46704823950000002</v>
      </c>
      <c r="O26">
        <f>Table810[[#This Row],[mrt]]-(Table810[[#This Row],[macc]]*1000)</f>
        <v>1972.3524805000002</v>
      </c>
      <c r="P26" s="9">
        <f>(Table810[[#This Row],[prt]]-Table810[[#This Row],[grt]])</f>
        <v>-17.374206999999842</v>
      </c>
      <c r="Q26" s="8">
        <f>Table810[[#This Row],[pacc]]-Table810[[#This Row],[gacc]]</f>
        <v>1.9148936000000005E-2</v>
      </c>
      <c r="R26" s="8">
        <f>Table810[[#This Row],[rt_pairing_score]]-Table810[[#This Row],[acc_pairing_score]]</f>
        <v>-17.393355935999843</v>
      </c>
    </row>
    <row r="27" spans="1:18" x14ac:dyDescent="0.25">
      <c r="A27" t="s">
        <v>16</v>
      </c>
      <c r="B27" s="1">
        <v>2552.0666670000001</v>
      </c>
      <c r="C27" s="1">
        <v>701.61801309999998</v>
      </c>
      <c r="D27" s="1">
        <v>0.591836735</v>
      </c>
      <c r="E27" s="1">
        <v>0.49658699099999998</v>
      </c>
      <c r="F27" s="1">
        <v>432</v>
      </c>
      <c r="G27" s="1">
        <v>2550.9534880000001</v>
      </c>
      <c r="H27" s="1">
        <v>701.39445980000005</v>
      </c>
      <c r="I27" s="1">
        <v>0.57446808500000002</v>
      </c>
      <c r="J27" s="1">
        <v>0.49976867899999999</v>
      </c>
      <c r="K27" s="1">
        <f>(B27+Table810[[#This Row],[grt]])/2</f>
        <v>2551.5100775000001</v>
      </c>
      <c r="L27" s="1">
        <f>(Table810[[#This Row],[prtsd]]+Table810[[#This Row],[grtsd]])/2</f>
        <v>701.50623644999996</v>
      </c>
      <c r="M27" s="1">
        <f>(Table810[[#This Row],[pacc]]+Table810[[#This Row],[gacc]])/2</f>
        <v>0.58315241000000007</v>
      </c>
      <c r="N27" s="1">
        <f>(Table810[[#This Row],[paccsd]]+Table810[[#This Row],[gaccsd]])/2</f>
        <v>0.49817783500000001</v>
      </c>
      <c r="O27">
        <f>Table810[[#This Row],[mrt]]-(Table810[[#This Row],[macc]]*1000)</f>
        <v>1968.3576674999999</v>
      </c>
      <c r="P27" s="9">
        <f>(Table810[[#This Row],[prt]]-Table810[[#This Row],[grt]])</f>
        <v>1.1131789999999455</v>
      </c>
      <c r="Q27" s="8">
        <f>Table810[[#This Row],[pacc]]-Table810[[#This Row],[gacc]]</f>
        <v>1.7368649999999985E-2</v>
      </c>
      <c r="R27" s="8">
        <f>Table810[[#This Row],[rt_pairing_score]]-Table810[[#This Row],[acc_pairing_score]]</f>
        <v>1.0958103499999456</v>
      </c>
    </row>
    <row r="28" spans="1:18" x14ac:dyDescent="0.25">
      <c r="A28" t="s">
        <v>0</v>
      </c>
      <c r="B28" s="1">
        <v>2554.9375</v>
      </c>
      <c r="C28" s="1">
        <v>763.62744080000004</v>
      </c>
      <c r="D28" s="1">
        <v>0.45833333300000001</v>
      </c>
      <c r="E28" s="1">
        <v>0.50353361299999999</v>
      </c>
      <c r="F28" s="1">
        <v>459</v>
      </c>
      <c r="G28" s="1">
        <v>2546.1333330000002</v>
      </c>
      <c r="H28" s="1">
        <v>766.34630790000006</v>
      </c>
      <c r="I28" s="1">
        <v>0.70833333300000001</v>
      </c>
      <c r="J28" s="1">
        <v>0.45933964300000002</v>
      </c>
      <c r="K28" s="1">
        <f>(B28+Table810[[#This Row],[grt]])/2</f>
        <v>2550.5354164999999</v>
      </c>
      <c r="L28" s="1">
        <f>(Table810[[#This Row],[prtsd]]+Table810[[#This Row],[grtsd]])/2</f>
        <v>764.98687435000011</v>
      </c>
      <c r="M28" s="1">
        <f>(Table810[[#This Row],[pacc]]+Table810[[#This Row],[gacc]])/2</f>
        <v>0.58333333300000001</v>
      </c>
      <c r="N28" s="1">
        <f>(Table810[[#This Row],[paccsd]]+Table810[[#This Row],[gaccsd]])/2</f>
        <v>0.48143662799999998</v>
      </c>
      <c r="O28">
        <f>Table810[[#This Row],[mrt]]-(Table810[[#This Row],[macc]]*1000)</f>
        <v>1967.2020834999998</v>
      </c>
      <c r="P28" s="9">
        <f>(Table810[[#This Row],[prt]]-Table810[[#This Row],[grt]])</f>
        <v>8.8041669999997794</v>
      </c>
      <c r="Q28" s="8">
        <f>Table810[[#This Row],[pacc]]-Table810[[#This Row],[gacc]]</f>
        <v>-0.25</v>
      </c>
      <c r="R28" s="8">
        <f>Table810[[#This Row],[rt_pairing_score]]-Table810[[#This Row],[acc_pairing_score]]</f>
        <v>9.0541669999997794</v>
      </c>
    </row>
    <row r="29" spans="1:18" x14ac:dyDescent="0.25">
      <c r="A29" t="s">
        <v>98</v>
      </c>
      <c r="B29" s="1">
        <v>2600.6875</v>
      </c>
      <c r="C29" s="1">
        <v>865.72070959999996</v>
      </c>
      <c r="D29" s="1">
        <v>0.79591836699999996</v>
      </c>
      <c r="E29" s="1">
        <v>0.40720550900000002</v>
      </c>
      <c r="F29" s="1">
        <v>728</v>
      </c>
      <c r="G29" s="1">
        <v>2597.697674</v>
      </c>
      <c r="H29" s="1">
        <v>863.6731231</v>
      </c>
      <c r="I29" s="1">
        <v>0.5</v>
      </c>
      <c r="J29" s="1">
        <v>0.50529115300000005</v>
      </c>
      <c r="K29" s="1">
        <f>(B29+Table810[[#This Row],[grt]])/2</f>
        <v>2599.192587</v>
      </c>
      <c r="L29" s="1">
        <f>(Table810[[#This Row],[prtsd]]+Table810[[#This Row],[grtsd]])/2</f>
        <v>864.69691635000004</v>
      </c>
      <c r="M29" s="1">
        <f>(Table810[[#This Row],[pacc]]+Table810[[#This Row],[gacc]])/2</f>
        <v>0.64795918350000004</v>
      </c>
      <c r="N29" s="1">
        <f>(Table810[[#This Row],[paccsd]]+Table810[[#This Row],[gaccsd]])/2</f>
        <v>0.45624833100000006</v>
      </c>
      <c r="O29">
        <f>Table810[[#This Row],[mrt]]-(Table810[[#This Row],[macc]]*1000)</f>
        <v>1951.2334034999999</v>
      </c>
      <c r="P29" s="9">
        <f>(Table810[[#This Row],[prt]]-Table810[[#This Row],[grt]])</f>
        <v>2.9898259999999937</v>
      </c>
      <c r="Q29" s="8">
        <f>Table810[[#This Row],[pacc]]-Table810[[#This Row],[gacc]]</f>
        <v>0.29591836699999996</v>
      </c>
      <c r="R29" s="8">
        <f>Table810[[#This Row],[rt_pairing_score]]-Table810[[#This Row],[acc_pairing_score]]</f>
        <v>2.6939076329999936</v>
      </c>
    </row>
    <row r="30" spans="1:18" x14ac:dyDescent="0.25">
      <c r="A30" t="s">
        <v>109</v>
      </c>
      <c r="B30" s="1">
        <v>2703.693878</v>
      </c>
      <c r="C30" s="1">
        <v>806.49873950000006</v>
      </c>
      <c r="D30" s="1">
        <v>0.82</v>
      </c>
      <c r="E30" s="1">
        <v>0.38808793400000002</v>
      </c>
      <c r="F30" s="1">
        <v>879</v>
      </c>
      <c r="G30" s="1">
        <v>2706.2666669999999</v>
      </c>
      <c r="H30" s="1">
        <v>807.80179840000005</v>
      </c>
      <c r="I30" s="1">
        <v>0.6875</v>
      </c>
      <c r="J30" s="1">
        <v>0.46841743499999999</v>
      </c>
      <c r="K30" s="1">
        <f>(B30+Table810[[#This Row],[grt]])/2</f>
        <v>2704.9802725</v>
      </c>
      <c r="L30" s="1">
        <f>(Table810[[#This Row],[prtsd]]+Table810[[#This Row],[grtsd]])/2</f>
        <v>807.15026895000005</v>
      </c>
      <c r="M30" s="1">
        <f>(Table810[[#This Row],[pacc]]+Table810[[#This Row],[gacc]])/2</f>
        <v>0.75374999999999992</v>
      </c>
      <c r="N30" s="1">
        <f>(Table810[[#This Row],[paccsd]]+Table810[[#This Row],[gaccsd]])/2</f>
        <v>0.42825268449999998</v>
      </c>
      <c r="O30">
        <f>Table810[[#This Row],[mrt]]-(Table810[[#This Row],[macc]]*1000)</f>
        <v>1951.2302725</v>
      </c>
      <c r="P30" s="9">
        <f>(Table810[[#This Row],[prt]]-Table810[[#This Row],[grt]])</f>
        <v>-2.5727889999998297</v>
      </c>
      <c r="Q30" s="8">
        <f>Table810[[#This Row],[pacc]]-Table810[[#This Row],[gacc]]</f>
        <v>0.13249999999999995</v>
      </c>
      <c r="R30" s="8">
        <f>Table810[[#This Row],[rt_pairing_score]]-Table810[[#This Row],[acc_pairing_score]]</f>
        <v>-2.7052889999998295</v>
      </c>
    </row>
    <row r="31" spans="1:18" x14ac:dyDescent="0.25">
      <c r="A31" t="s">
        <v>107</v>
      </c>
      <c r="B31" s="1">
        <v>2728.5918369999999</v>
      </c>
      <c r="C31" s="1">
        <v>699.08296829999995</v>
      </c>
      <c r="D31" s="1">
        <v>0.82</v>
      </c>
      <c r="E31" s="1">
        <v>0.38808793400000002</v>
      </c>
      <c r="F31" s="1">
        <v>692</v>
      </c>
      <c r="G31" s="1">
        <v>2701.479167</v>
      </c>
      <c r="H31" s="1">
        <v>697.09845419999999</v>
      </c>
      <c r="I31" s="1">
        <v>0.72916666699999999</v>
      </c>
      <c r="J31" s="1">
        <v>0.44909285999999998</v>
      </c>
      <c r="K31" s="1">
        <f>(B31+Table810[[#This Row],[grt]])/2</f>
        <v>2715.0355019999997</v>
      </c>
      <c r="L31" s="1">
        <f>(Table810[[#This Row],[prtsd]]+Table810[[#This Row],[grtsd]])/2</f>
        <v>698.09071124999991</v>
      </c>
      <c r="M31" s="1">
        <f>(Table810[[#This Row],[pacc]]+Table810[[#This Row],[gacc]])/2</f>
        <v>0.77458333349999997</v>
      </c>
      <c r="N31" s="1">
        <f>(Table810[[#This Row],[paccsd]]+Table810[[#This Row],[gaccsd]])/2</f>
        <v>0.418590397</v>
      </c>
      <c r="O31">
        <f>Table810[[#This Row],[mrt]]-(Table810[[#This Row],[macc]]*1000)</f>
        <v>1940.4521684999997</v>
      </c>
      <c r="P31" s="9">
        <f>(Table810[[#This Row],[prt]]-Table810[[#This Row],[grt]])</f>
        <v>27.11266999999998</v>
      </c>
      <c r="Q31" s="8">
        <f>Table810[[#This Row],[pacc]]-Table810[[#This Row],[gacc]]</f>
        <v>9.0833332999999961E-2</v>
      </c>
      <c r="R31" s="8">
        <f>Table810[[#This Row],[rt_pairing_score]]-Table810[[#This Row],[acc_pairing_score]]</f>
        <v>27.021836666999981</v>
      </c>
    </row>
    <row r="32" spans="1:18" x14ac:dyDescent="0.25">
      <c r="A32" t="s">
        <v>39</v>
      </c>
      <c r="B32" s="1">
        <v>2638.1020410000001</v>
      </c>
      <c r="C32" s="1">
        <v>744.16293140000005</v>
      </c>
      <c r="D32" s="1">
        <v>0.66</v>
      </c>
      <c r="E32" s="1">
        <v>0.47851812100000002</v>
      </c>
      <c r="F32" s="1">
        <v>536</v>
      </c>
      <c r="G32" s="1">
        <v>2630.1276600000001</v>
      </c>
      <c r="H32" s="1">
        <v>741.53995520000001</v>
      </c>
      <c r="I32" s="1">
        <v>0.72916666699999999</v>
      </c>
      <c r="J32" s="1">
        <v>0.44909285999999998</v>
      </c>
      <c r="K32" s="1">
        <f>(B32+Table810[[#This Row],[grt]])/2</f>
        <v>2634.1148505000001</v>
      </c>
      <c r="L32" s="1">
        <f>(Table810[[#This Row],[prtsd]]+Table810[[#This Row],[grtsd]])/2</f>
        <v>742.85144330000003</v>
      </c>
      <c r="M32" s="1">
        <f>(Table810[[#This Row],[pacc]]+Table810[[#This Row],[gacc]])/2</f>
        <v>0.69458333350000001</v>
      </c>
      <c r="N32" s="1">
        <f>(Table810[[#This Row],[paccsd]]+Table810[[#This Row],[gaccsd]])/2</f>
        <v>0.46380549049999997</v>
      </c>
      <c r="O32">
        <f>Table810[[#This Row],[mrt]]-(Table810[[#This Row],[macc]]*1000)</f>
        <v>1939.5315170000001</v>
      </c>
      <c r="P32" s="9">
        <f>(Table810[[#This Row],[prt]]-Table810[[#This Row],[grt]])</f>
        <v>7.9743809999999939</v>
      </c>
      <c r="Q32" s="8">
        <f>Table810[[#This Row],[pacc]]-Table810[[#This Row],[gacc]]</f>
        <v>-6.9166666999999959E-2</v>
      </c>
      <c r="R32" s="8">
        <f>Table810[[#This Row],[rt_pairing_score]]-Table810[[#This Row],[acc_pairing_score]]</f>
        <v>8.0435476669999932</v>
      </c>
    </row>
    <row r="33" spans="1:18" x14ac:dyDescent="0.25">
      <c r="A33" t="s">
        <v>97</v>
      </c>
      <c r="B33" s="1">
        <v>2658.227273</v>
      </c>
      <c r="C33" s="1">
        <v>839.82101809999995</v>
      </c>
      <c r="D33" s="1">
        <v>0.79591836699999996</v>
      </c>
      <c r="E33" s="1">
        <v>0.40720550900000002</v>
      </c>
      <c r="F33" s="1">
        <v>367</v>
      </c>
      <c r="G33" s="1">
        <v>2655</v>
      </c>
      <c r="H33" s="1">
        <v>837.01583679999999</v>
      </c>
      <c r="I33" s="1">
        <v>0.63829787199999999</v>
      </c>
      <c r="J33" s="1">
        <v>0.48568785399999997</v>
      </c>
      <c r="K33" s="1">
        <f>(B33+Table810[[#This Row],[grt]])/2</f>
        <v>2656.6136365000002</v>
      </c>
      <c r="L33" s="1">
        <f>(Table810[[#This Row],[prtsd]]+Table810[[#This Row],[grtsd]])/2</f>
        <v>838.41842744999997</v>
      </c>
      <c r="M33" s="1">
        <f>(Table810[[#This Row],[pacc]]+Table810[[#This Row],[gacc]])/2</f>
        <v>0.71710811949999997</v>
      </c>
      <c r="N33" s="1">
        <f>(Table810[[#This Row],[paccsd]]+Table810[[#This Row],[gaccsd]])/2</f>
        <v>0.4464466815</v>
      </c>
      <c r="O33">
        <f>Table810[[#This Row],[mrt]]-(Table810[[#This Row],[macc]]*1000)</f>
        <v>1939.5055170000003</v>
      </c>
      <c r="P33" s="9">
        <f>(Table810[[#This Row],[prt]]-Table810[[#This Row],[grt]])</f>
        <v>3.2272729999999683</v>
      </c>
      <c r="Q33" s="8">
        <f>Table810[[#This Row],[pacc]]-Table810[[#This Row],[gacc]]</f>
        <v>0.15762049499999997</v>
      </c>
      <c r="R33" s="8">
        <f>Table810[[#This Row],[rt_pairing_score]]-Table810[[#This Row],[acc_pairing_score]]</f>
        <v>3.0696525049999686</v>
      </c>
    </row>
    <row r="34" spans="1:18" x14ac:dyDescent="0.25">
      <c r="A34" t="s">
        <v>23</v>
      </c>
      <c r="B34" s="1">
        <v>2599.306122</v>
      </c>
      <c r="C34" s="1">
        <v>693.79764709999995</v>
      </c>
      <c r="D34" s="1">
        <v>0.6</v>
      </c>
      <c r="E34" s="1">
        <v>0.49487165900000002</v>
      </c>
      <c r="F34" s="1">
        <v>639</v>
      </c>
      <c r="G34" s="1">
        <v>2578.0888890000001</v>
      </c>
      <c r="H34" s="1">
        <v>691.97043489999999</v>
      </c>
      <c r="I34" s="1">
        <v>0.70833333300000001</v>
      </c>
      <c r="J34" s="1">
        <v>0.45933964300000002</v>
      </c>
      <c r="K34" s="1">
        <f>(B34+Table810[[#This Row],[grt]])/2</f>
        <v>2588.6975055000003</v>
      </c>
      <c r="L34" s="1">
        <f>(Table810[[#This Row],[prtsd]]+Table810[[#This Row],[grtsd]])/2</f>
        <v>692.88404100000002</v>
      </c>
      <c r="M34" s="1">
        <f>(Table810[[#This Row],[pacc]]+Table810[[#This Row],[gacc]])/2</f>
        <v>0.65416666649999999</v>
      </c>
      <c r="N34" s="1">
        <f>(Table810[[#This Row],[paccsd]]+Table810[[#This Row],[gaccsd]])/2</f>
        <v>0.47710565100000002</v>
      </c>
      <c r="O34">
        <f>Table810[[#This Row],[mrt]]-(Table810[[#This Row],[macc]]*1000)</f>
        <v>1934.5308390000002</v>
      </c>
      <c r="P34" s="9">
        <f>(Table810[[#This Row],[prt]]-Table810[[#This Row],[grt]])</f>
        <v>21.217232999999851</v>
      </c>
      <c r="Q34" s="8">
        <f>Table810[[#This Row],[pacc]]-Table810[[#This Row],[gacc]]</f>
        <v>-0.10833333300000003</v>
      </c>
      <c r="R34" s="8">
        <f>Table810[[#This Row],[rt_pairing_score]]-Table810[[#This Row],[acc_pairing_score]]</f>
        <v>21.325566332999852</v>
      </c>
    </row>
    <row r="35" spans="1:18" x14ac:dyDescent="0.25">
      <c r="A35" t="s">
        <v>12</v>
      </c>
      <c r="B35" s="1">
        <v>2511.630435</v>
      </c>
      <c r="C35" s="1">
        <v>901.91860580000002</v>
      </c>
      <c r="D35" s="1">
        <v>0.57999999999999996</v>
      </c>
      <c r="E35" s="1">
        <v>0.49856938200000001</v>
      </c>
      <c r="F35" s="1">
        <v>943</v>
      </c>
      <c r="G35" s="1">
        <v>2571.5555559999998</v>
      </c>
      <c r="H35" s="1">
        <v>902.66276689999995</v>
      </c>
      <c r="I35" s="1">
        <v>0.65957446799999997</v>
      </c>
      <c r="J35" s="1">
        <v>0.47897516200000001</v>
      </c>
      <c r="K35" s="1">
        <f>(B35+Table810[[#This Row],[grt]])/2</f>
        <v>2541.5929955000001</v>
      </c>
      <c r="L35" s="1">
        <f>(Table810[[#This Row],[prtsd]]+Table810[[#This Row],[grtsd]])/2</f>
        <v>902.29068634999999</v>
      </c>
      <c r="M35" s="1">
        <f>(Table810[[#This Row],[pacc]]+Table810[[#This Row],[gacc]])/2</f>
        <v>0.61978723399999991</v>
      </c>
      <c r="N35" s="1">
        <f>(Table810[[#This Row],[paccsd]]+Table810[[#This Row],[gaccsd]])/2</f>
        <v>0.48877227200000001</v>
      </c>
      <c r="O35">
        <f>Table810[[#This Row],[mrt]]-(Table810[[#This Row],[macc]]*1000)</f>
        <v>1921.8057615000002</v>
      </c>
      <c r="P35" s="9">
        <f>(Table810[[#This Row],[prt]]-Table810[[#This Row],[grt]])</f>
        <v>-59.925120999999763</v>
      </c>
      <c r="Q35" s="8">
        <f>Table810[[#This Row],[pacc]]-Table810[[#This Row],[gacc]]</f>
        <v>-7.9574468000000009E-2</v>
      </c>
      <c r="R35" s="8">
        <f>Table810[[#This Row],[rt_pairing_score]]-Table810[[#This Row],[acc_pairing_score]]</f>
        <v>-59.845546531999766</v>
      </c>
    </row>
    <row r="36" spans="1:18" x14ac:dyDescent="0.25">
      <c r="A36" t="s">
        <v>50</v>
      </c>
      <c r="B36" s="1">
        <v>2568.375</v>
      </c>
      <c r="C36" s="1">
        <v>786.42624530000001</v>
      </c>
      <c r="D36" s="1">
        <v>0.71428571399999996</v>
      </c>
      <c r="E36" s="1">
        <v>0.45643546499999998</v>
      </c>
      <c r="F36" s="1">
        <v>429</v>
      </c>
      <c r="G36" s="1">
        <v>2570.914894</v>
      </c>
      <c r="H36" s="1">
        <v>783.47275500000001</v>
      </c>
      <c r="I36" s="1">
        <v>0.58333333300000001</v>
      </c>
      <c r="J36" s="1">
        <v>0.49822379500000002</v>
      </c>
      <c r="K36" s="1">
        <f>(B36+Table810[[#This Row],[grt]])/2</f>
        <v>2569.6449469999998</v>
      </c>
      <c r="L36" s="1">
        <f>(Table810[[#This Row],[prtsd]]+Table810[[#This Row],[grtsd]])/2</f>
        <v>784.94950014999995</v>
      </c>
      <c r="M36" s="1">
        <f>(Table810[[#This Row],[pacc]]+Table810[[#This Row],[gacc]])/2</f>
        <v>0.64880952349999998</v>
      </c>
      <c r="N36" s="1">
        <f>(Table810[[#This Row],[paccsd]]+Table810[[#This Row],[gaccsd]])/2</f>
        <v>0.47732963</v>
      </c>
      <c r="O36">
        <f>Table810[[#This Row],[mrt]]-(Table810[[#This Row],[macc]]*1000)</f>
        <v>1920.8354234999997</v>
      </c>
      <c r="P36" s="9">
        <f>(Table810[[#This Row],[prt]]-Table810[[#This Row],[grt]])</f>
        <v>-2.5398940000000039</v>
      </c>
      <c r="Q36" s="8">
        <f>Table810[[#This Row],[pacc]]-Table810[[#This Row],[gacc]]</f>
        <v>0.13095238099999995</v>
      </c>
      <c r="R36" s="8">
        <f>Table810[[#This Row],[rt_pairing_score]]-Table810[[#This Row],[acc_pairing_score]]</f>
        <v>-2.670846381000004</v>
      </c>
    </row>
    <row r="37" spans="1:18" x14ac:dyDescent="0.25">
      <c r="A37" t="s">
        <v>70</v>
      </c>
      <c r="B37" s="1">
        <v>2734.9591839999998</v>
      </c>
      <c r="C37" s="1">
        <v>652.02214170000002</v>
      </c>
      <c r="D37" s="1">
        <v>0.755102041</v>
      </c>
      <c r="E37" s="1">
        <v>0.43448303799999999</v>
      </c>
      <c r="F37" s="1">
        <v>315</v>
      </c>
      <c r="G37" s="1">
        <v>2755.369565</v>
      </c>
      <c r="H37" s="1">
        <v>655.4917868</v>
      </c>
      <c r="I37" s="1">
        <v>0.89583333300000001</v>
      </c>
      <c r="J37" s="1">
        <v>0.30870927799999998</v>
      </c>
      <c r="K37" s="1">
        <f>(B37+Table810[[#This Row],[grt]])/2</f>
        <v>2745.1643745000001</v>
      </c>
      <c r="L37" s="1">
        <f>(Table810[[#This Row],[prtsd]]+Table810[[#This Row],[grtsd]])/2</f>
        <v>653.75696425000001</v>
      </c>
      <c r="M37" s="1">
        <f>(Table810[[#This Row],[pacc]]+Table810[[#This Row],[gacc]])/2</f>
        <v>0.82546768699999995</v>
      </c>
      <c r="N37" s="1">
        <f>(Table810[[#This Row],[paccsd]]+Table810[[#This Row],[gaccsd]])/2</f>
        <v>0.37159615800000001</v>
      </c>
      <c r="O37">
        <f>Table810[[#This Row],[mrt]]-(Table810[[#This Row],[macc]]*1000)</f>
        <v>1919.6966875000003</v>
      </c>
      <c r="P37" s="9">
        <f>(Table810[[#This Row],[prt]]-Table810[[#This Row],[grt]])</f>
        <v>-20.410381000000143</v>
      </c>
      <c r="Q37" s="8">
        <f>Table810[[#This Row],[pacc]]-Table810[[#This Row],[gacc]]</f>
        <v>-0.14073129200000001</v>
      </c>
      <c r="R37" s="8">
        <f>Table810[[#This Row],[rt_pairing_score]]-Table810[[#This Row],[acc_pairing_score]]</f>
        <v>-20.269649708000141</v>
      </c>
    </row>
    <row r="38" spans="1:18" x14ac:dyDescent="0.25">
      <c r="A38" t="s">
        <v>66</v>
      </c>
      <c r="B38" s="1">
        <v>2593.375</v>
      </c>
      <c r="C38" s="1">
        <v>780.81456720000006</v>
      </c>
      <c r="D38" s="1">
        <v>0.74</v>
      </c>
      <c r="E38" s="1">
        <v>0.44308749800000002</v>
      </c>
      <c r="F38" s="1">
        <v>857</v>
      </c>
      <c r="G38" s="1">
        <v>2590.0212769999998</v>
      </c>
      <c r="H38" s="1">
        <v>783.53589550000004</v>
      </c>
      <c r="I38" s="1">
        <v>0.60416666699999999</v>
      </c>
      <c r="J38" s="1">
        <v>0.49420399500000001</v>
      </c>
      <c r="K38" s="1">
        <f>(B38+Table810[[#This Row],[grt]])/2</f>
        <v>2591.6981384999999</v>
      </c>
      <c r="L38" s="1">
        <f>(Table810[[#This Row],[prtsd]]+Table810[[#This Row],[grtsd]])/2</f>
        <v>782.1752313500001</v>
      </c>
      <c r="M38" s="1">
        <f>(Table810[[#This Row],[pacc]]+Table810[[#This Row],[gacc]])/2</f>
        <v>0.67208333350000005</v>
      </c>
      <c r="N38" s="1">
        <f>(Table810[[#This Row],[paccsd]]+Table810[[#This Row],[gaccsd]])/2</f>
        <v>0.46864574650000002</v>
      </c>
      <c r="O38">
        <f>Table810[[#This Row],[mrt]]-(Table810[[#This Row],[macc]]*1000)</f>
        <v>1919.6148049999997</v>
      </c>
      <c r="P38" s="9">
        <f>(Table810[[#This Row],[prt]]-Table810[[#This Row],[grt]])</f>
        <v>3.3537230000001728</v>
      </c>
      <c r="Q38" s="8">
        <f>Table810[[#This Row],[pacc]]-Table810[[#This Row],[gacc]]</f>
        <v>0.135833333</v>
      </c>
      <c r="R38" s="8">
        <f>Table810[[#This Row],[rt_pairing_score]]-Table810[[#This Row],[acc_pairing_score]]</f>
        <v>3.2178896670001729</v>
      </c>
    </row>
    <row r="39" spans="1:18" x14ac:dyDescent="0.25">
      <c r="A39" t="s">
        <v>28</v>
      </c>
      <c r="B39" s="1">
        <v>2547.5714290000001</v>
      </c>
      <c r="C39" s="1">
        <v>791.06715899999995</v>
      </c>
      <c r="D39" s="1">
        <v>0.62</v>
      </c>
      <c r="E39" s="1">
        <v>0.49031435099999998</v>
      </c>
      <c r="F39" s="1">
        <v>974</v>
      </c>
      <c r="G39" s="1">
        <v>2556.9375</v>
      </c>
      <c r="H39" s="1">
        <v>787.36848020000002</v>
      </c>
      <c r="I39" s="1">
        <v>0.64583333300000001</v>
      </c>
      <c r="J39" s="1">
        <v>0.48332110499999997</v>
      </c>
      <c r="K39" s="1">
        <f>(B39+Table810[[#This Row],[grt]])/2</f>
        <v>2552.2544644999998</v>
      </c>
      <c r="L39" s="1">
        <f>(Table810[[#This Row],[prtsd]]+Table810[[#This Row],[grtsd]])/2</f>
        <v>789.21781959999998</v>
      </c>
      <c r="M39" s="1">
        <f>(Table810[[#This Row],[pacc]]+Table810[[#This Row],[gacc]])/2</f>
        <v>0.6329166665</v>
      </c>
      <c r="N39" s="1">
        <f>(Table810[[#This Row],[paccsd]]+Table810[[#This Row],[gaccsd]])/2</f>
        <v>0.48681772800000001</v>
      </c>
      <c r="O39">
        <f>Table810[[#This Row],[mrt]]-(Table810[[#This Row],[macc]]*1000)</f>
        <v>1919.3377979999998</v>
      </c>
      <c r="P39" s="9">
        <f>(Table810[[#This Row],[prt]]-Table810[[#This Row],[grt]])</f>
        <v>-9.3660709999999199</v>
      </c>
      <c r="Q39" s="8">
        <f>Table810[[#This Row],[pacc]]-Table810[[#This Row],[gacc]]</f>
        <v>-2.5833333000000014E-2</v>
      </c>
      <c r="R39" s="8">
        <f>Table810[[#This Row],[rt_pairing_score]]-Table810[[#This Row],[acc_pairing_score]]</f>
        <v>-9.3402376669999203</v>
      </c>
    </row>
    <row r="40" spans="1:18" x14ac:dyDescent="0.25">
      <c r="A40" t="s">
        <v>103</v>
      </c>
      <c r="B40" s="1">
        <v>2665.4888890000002</v>
      </c>
      <c r="C40" s="1">
        <v>781.38561719999996</v>
      </c>
      <c r="D40" s="1">
        <v>0.81632653099999997</v>
      </c>
      <c r="E40" s="1">
        <v>0.39123039799999998</v>
      </c>
      <c r="F40" s="1">
        <v>258</v>
      </c>
      <c r="G40" s="1">
        <v>2652.1702129999999</v>
      </c>
      <c r="H40" s="1">
        <v>782.47140019999995</v>
      </c>
      <c r="I40" s="1">
        <v>0.66666666699999999</v>
      </c>
      <c r="J40" s="1">
        <v>0.476393067</v>
      </c>
      <c r="K40" s="1">
        <f>(B40+Table810[[#This Row],[grt]])/2</f>
        <v>2658.8295509999998</v>
      </c>
      <c r="L40" s="1">
        <f>(Table810[[#This Row],[prtsd]]+Table810[[#This Row],[grtsd]])/2</f>
        <v>781.92850869999995</v>
      </c>
      <c r="M40" s="1">
        <f>(Table810[[#This Row],[pacc]]+Table810[[#This Row],[gacc]])/2</f>
        <v>0.74149659899999998</v>
      </c>
      <c r="N40" s="1">
        <f>(Table810[[#This Row],[paccsd]]+Table810[[#This Row],[gaccsd]])/2</f>
        <v>0.43381173249999999</v>
      </c>
      <c r="O40">
        <f>Table810[[#This Row],[mrt]]-(Table810[[#This Row],[macc]]*1000)</f>
        <v>1917.3329519999998</v>
      </c>
      <c r="P40" s="9">
        <f>(Table810[[#This Row],[prt]]-Table810[[#This Row],[grt]])</f>
        <v>13.318676000000323</v>
      </c>
      <c r="Q40" s="8">
        <f>Table810[[#This Row],[pacc]]-Table810[[#This Row],[gacc]]</f>
        <v>0.14965986399999998</v>
      </c>
      <c r="R40" s="8">
        <f>Table810[[#This Row],[rt_pairing_score]]-Table810[[#This Row],[acc_pairing_score]]</f>
        <v>13.169016136000323</v>
      </c>
    </row>
    <row r="41" spans="1:18" x14ac:dyDescent="0.25">
      <c r="A41" t="s">
        <v>22</v>
      </c>
      <c r="B41" s="1">
        <v>2572.346939</v>
      </c>
      <c r="C41" s="1">
        <v>778.87179490000005</v>
      </c>
      <c r="D41" s="1">
        <v>0.6</v>
      </c>
      <c r="E41" s="1">
        <v>0.49487165900000002</v>
      </c>
      <c r="F41" s="1">
        <v>310</v>
      </c>
      <c r="G41" s="1">
        <v>2564.0666670000001</v>
      </c>
      <c r="H41" s="1">
        <v>778.72315070000002</v>
      </c>
      <c r="I41" s="1">
        <v>0.70212766000000004</v>
      </c>
      <c r="J41" s="1">
        <v>0.46226726800000001</v>
      </c>
      <c r="K41" s="1">
        <f>(B41+Table810[[#This Row],[grt]])/2</f>
        <v>2568.206803</v>
      </c>
      <c r="L41" s="1">
        <f>(Table810[[#This Row],[prtsd]]+Table810[[#This Row],[grtsd]])/2</f>
        <v>778.79747280000004</v>
      </c>
      <c r="M41" s="1">
        <f>(Table810[[#This Row],[pacc]]+Table810[[#This Row],[gacc]])/2</f>
        <v>0.65106383000000001</v>
      </c>
      <c r="N41" s="1">
        <f>(Table810[[#This Row],[paccsd]]+Table810[[#This Row],[gaccsd]])/2</f>
        <v>0.47856946350000001</v>
      </c>
      <c r="O41">
        <f>Table810[[#This Row],[mrt]]-(Table810[[#This Row],[macc]]*1000)</f>
        <v>1917.142973</v>
      </c>
      <c r="P41" s="9">
        <f>(Table810[[#This Row],[prt]]-Table810[[#This Row],[grt]])</f>
        <v>8.2802719999999681</v>
      </c>
      <c r="Q41" s="8">
        <f>Table810[[#This Row],[pacc]]-Table810[[#This Row],[gacc]]</f>
        <v>-0.10212766000000006</v>
      </c>
      <c r="R41" s="8">
        <f>Table810[[#This Row],[rt_pairing_score]]-Table810[[#This Row],[acc_pairing_score]]</f>
        <v>8.3823996599999688</v>
      </c>
    </row>
    <row r="42" spans="1:18" x14ac:dyDescent="0.25">
      <c r="A42" t="s">
        <v>69</v>
      </c>
      <c r="B42" s="1">
        <v>2653.395833</v>
      </c>
      <c r="C42" s="1">
        <v>744.66736079999998</v>
      </c>
      <c r="D42" s="1">
        <v>0.75</v>
      </c>
      <c r="E42" s="1">
        <v>0.43759497400000003</v>
      </c>
      <c r="F42" s="1">
        <v>672</v>
      </c>
      <c r="G42" s="1">
        <v>2643.2978720000001</v>
      </c>
      <c r="H42" s="1">
        <v>749.1797229</v>
      </c>
      <c r="I42" s="1">
        <v>0.72916666699999999</v>
      </c>
      <c r="J42" s="1">
        <v>0.44909285999999998</v>
      </c>
      <c r="K42" s="1">
        <f>(B42+Table810[[#This Row],[grt]])/2</f>
        <v>2648.3468524999998</v>
      </c>
      <c r="L42" s="1">
        <f>(Table810[[#This Row],[prtsd]]+Table810[[#This Row],[grtsd]])/2</f>
        <v>746.92354184999999</v>
      </c>
      <c r="M42" s="1">
        <f>(Table810[[#This Row],[pacc]]+Table810[[#This Row],[gacc]])/2</f>
        <v>0.73958333349999994</v>
      </c>
      <c r="N42" s="1">
        <f>(Table810[[#This Row],[paccsd]]+Table810[[#This Row],[gaccsd]])/2</f>
        <v>0.44334391699999998</v>
      </c>
      <c r="O42">
        <f>Table810[[#This Row],[mrt]]-(Table810[[#This Row],[macc]]*1000)</f>
        <v>1908.7635189999999</v>
      </c>
      <c r="P42" s="9">
        <f>(Table810[[#This Row],[prt]]-Table810[[#This Row],[grt]])</f>
        <v>10.097960999999941</v>
      </c>
      <c r="Q42" s="8">
        <f>Table810[[#This Row],[pacc]]-Table810[[#This Row],[gacc]]</f>
        <v>2.0833333000000009E-2</v>
      </c>
      <c r="R42" s="8">
        <f>Table810[[#This Row],[rt_pairing_score]]-Table810[[#This Row],[acc_pairing_score]]</f>
        <v>10.077127666999941</v>
      </c>
    </row>
    <row r="43" spans="1:18" x14ac:dyDescent="0.25">
      <c r="A43" t="s">
        <v>3</v>
      </c>
      <c r="B43" s="1">
        <v>2561.2340429999999</v>
      </c>
      <c r="C43" s="1">
        <v>885.0849925</v>
      </c>
      <c r="D43" s="1">
        <v>0.48</v>
      </c>
      <c r="E43" s="1">
        <v>0.50467205000000004</v>
      </c>
      <c r="F43" s="1">
        <v>627</v>
      </c>
      <c r="G43" s="1">
        <v>2551.7173910000001</v>
      </c>
      <c r="H43" s="1">
        <v>877.35954019999997</v>
      </c>
      <c r="I43" s="1">
        <v>0.83333333300000001</v>
      </c>
      <c r="J43" s="1">
        <v>0.37662178899999998</v>
      </c>
      <c r="K43" s="1">
        <f>(B43+Table810[[#This Row],[grt]])/2</f>
        <v>2556.4757170000003</v>
      </c>
      <c r="L43" s="1">
        <f>(Table810[[#This Row],[prtsd]]+Table810[[#This Row],[grtsd]])/2</f>
        <v>881.22226634999993</v>
      </c>
      <c r="M43" s="1">
        <f>(Table810[[#This Row],[pacc]]+Table810[[#This Row],[gacc]])/2</f>
        <v>0.65666666650000005</v>
      </c>
      <c r="N43" s="1">
        <f>(Table810[[#This Row],[paccsd]]+Table810[[#This Row],[gaccsd]])/2</f>
        <v>0.44064691950000001</v>
      </c>
      <c r="O43">
        <f>Table810[[#This Row],[mrt]]-(Table810[[#This Row],[macc]]*1000)</f>
        <v>1899.8090505000002</v>
      </c>
      <c r="P43" s="9">
        <f>(Table810[[#This Row],[prt]]-Table810[[#This Row],[grt]])</f>
        <v>9.5166519999997945</v>
      </c>
      <c r="Q43" s="8">
        <f>Table810[[#This Row],[pacc]]-Table810[[#This Row],[gacc]]</f>
        <v>-0.35333333300000003</v>
      </c>
      <c r="R43" s="8">
        <f>Table810[[#This Row],[rt_pairing_score]]-Table810[[#This Row],[acc_pairing_score]]</f>
        <v>9.8699853329997946</v>
      </c>
    </row>
    <row r="44" spans="1:18" x14ac:dyDescent="0.25">
      <c r="A44" t="s">
        <v>4</v>
      </c>
      <c r="B44" s="1">
        <v>2497.6875</v>
      </c>
      <c r="C44" s="1">
        <v>759.81826369999999</v>
      </c>
      <c r="D44" s="1">
        <v>0.510204082</v>
      </c>
      <c r="E44" s="1">
        <v>0.50507627200000005</v>
      </c>
      <c r="F44" s="1">
        <v>650</v>
      </c>
      <c r="G44" s="1">
        <v>2495.3478260000002</v>
      </c>
      <c r="H44" s="1">
        <v>755.01306</v>
      </c>
      <c r="I44" s="1">
        <v>0.6875</v>
      </c>
      <c r="J44" s="1">
        <v>0.46841743499999999</v>
      </c>
      <c r="K44" s="1">
        <f>(B44+Table810[[#This Row],[grt]])/2</f>
        <v>2496.5176630000001</v>
      </c>
      <c r="L44" s="1">
        <f>(Table810[[#This Row],[prtsd]]+Table810[[#This Row],[grtsd]])/2</f>
        <v>757.41566184999999</v>
      </c>
      <c r="M44" s="1">
        <f>(Table810[[#This Row],[pacc]]+Table810[[#This Row],[gacc]])/2</f>
        <v>0.598852041</v>
      </c>
      <c r="N44" s="1">
        <f>(Table810[[#This Row],[paccsd]]+Table810[[#This Row],[gaccsd]])/2</f>
        <v>0.48674685350000002</v>
      </c>
      <c r="O44">
        <f>Table810[[#This Row],[mrt]]-(Table810[[#This Row],[macc]]*1000)</f>
        <v>1897.665622</v>
      </c>
      <c r="P44" s="9">
        <f>(Table810[[#This Row],[prt]]-Table810[[#This Row],[grt]])</f>
        <v>2.3396739999998317</v>
      </c>
      <c r="Q44" s="8">
        <f>Table810[[#This Row],[pacc]]-Table810[[#This Row],[gacc]]</f>
        <v>-0.177295918</v>
      </c>
      <c r="R44" s="8">
        <f>Table810[[#This Row],[rt_pairing_score]]-Table810[[#This Row],[acc_pairing_score]]</f>
        <v>2.5169699179998317</v>
      </c>
    </row>
    <row r="45" spans="1:18" x14ac:dyDescent="0.25">
      <c r="A45" t="s">
        <v>102</v>
      </c>
      <c r="B45" s="1">
        <v>2611.851064</v>
      </c>
      <c r="C45" s="1">
        <v>869.87962630000004</v>
      </c>
      <c r="D45" s="1">
        <v>0.81632653099999997</v>
      </c>
      <c r="E45" s="1">
        <v>0.39123039799999998</v>
      </c>
      <c r="F45" s="1">
        <v>597</v>
      </c>
      <c r="G45" s="1">
        <v>2628.6521739999998</v>
      </c>
      <c r="H45" s="1">
        <v>879.52419499999996</v>
      </c>
      <c r="I45" s="1">
        <v>0.64583333300000001</v>
      </c>
      <c r="J45" s="1">
        <v>0.48332110499999997</v>
      </c>
      <c r="K45" s="1">
        <f>(B45+Table810[[#This Row],[grt]])/2</f>
        <v>2620.2516189999997</v>
      </c>
      <c r="L45" s="1">
        <f>(Table810[[#This Row],[prtsd]]+Table810[[#This Row],[grtsd]])/2</f>
        <v>874.70191064999995</v>
      </c>
      <c r="M45" s="1">
        <f>(Table810[[#This Row],[pacc]]+Table810[[#This Row],[gacc]])/2</f>
        <v>0.73107993199999999</v>
      </c>
      <c r="N45" s="1">
        <f>(Table810[[#This Row],[paccsd]]+Table810[[#This Row],[gaccsd]])/2</f>
        <v>0.43727575149999998</v>
      </c>
      <c r="O45">
        <f>Table810[[#This Row],[mrt]]-(Table810[[#This Row],[macc]]*1000)</f>
        <v>1889.1716869999996</v>
      </c>
      <c r="P45" s="9">
        <f>(Table810[[#This Row],[prt]]-Table810[[#This Row],[grt]])</f>
        <v>-16.801109999999881</v>
      </c>
      <c r="Q45" s="8">
        <f>Table810[[#This Row],[pacc]]-Table810[[#This Row],[gacc]]</f>
        <v>0.17049319799999996</v>
      </c>
      <c r="R45" s="8">
        <f>Table810[[#This Row],[rt_pairing_score]]-Table810[[#This Row],[acc_pairing_score]]</f>
        <v>-16.97160319799988</v>
      </c>
    </row>
    <row r="46" spans="1:18" x14ac:dyDescent="0.25">
      <c r="A46" t="s">
        <v>86</v>
      </c>
      <c r="B46" s="1">
        <v>2668.7659570000001</v>
      </c>
      <c r="C46" s="1">
        <v>670.75885679999999</v>
      </c>
      <c r="D46" s="1">
        <v>0.77551020400000004</v>
      </c>
      <c r="E46" s="1">
        <v>0.42156979100000003</v>
      </c>
      <c r="F46" s="1">
        <v>652</v>
      </c>
      <c r="G46" s="1">
        <v>2649.7446810000001</v>
      </c>
      <c r="H46" s="1">
        <v>673.41244770000003</v>
      </c>
      <c r="I46" s="1">
        <v>0.77083333300000001</v>
      </c>
      <c r="J46" s="1">
        <v>0.424744395</v>
      </c>
      <c r="K46" s="1">
        <f>(B46+Table810[[#This Row],[grt]])/2</f>
        <v>2659.2553189999999</v>
      </c>
      <c r="L46" s="1">
        <f>(Table810[[#This Row],[prtsd]]+Table810[[#This Row],[grtsd]])/2</f>
        <v>672.08565225000007</v>
      </c>
      <c r="M46" s="1">
        <f>(Table810[[#This Row],[pacc]]+Table810[[#This Row],[gacc]])/2</f>
        <v>0.77317176850000002</v>
      </c>
      <c r="N46" s="1">
        <f>(Table810[[#This Row],[paccsd]]+Table810[[#This Row],[gaccsd]])/2</f>
        <v>0.42315709300000004</v>
      </c>
      <c r="O46">
        <f>Table810[[#This Row],[mrt]]-(Table810[[#This Row],[macc]]*1000)</f>
        <v>1886.0835505</v>
      </c>
      <c r="P46" s="9">
        <f>(Table810[[#This Row],[prt]]-Table810[[#This Row],[grt]])</f>
        <v>19.021275999999943</v>
      </c>
      <c r="Q46" s="8">
        <f>Table810[[#This Row],[pacc]]-Table810[[#This Row],[gacc]]</f>
        <v>4.6768710000000269E-3</v>
      </c>
      <c r="R46" s="8">
        <f>Table810[[#This Row],[rt_pairing_score]]-Table810[[#This Row],[acc_pairing_score]]</f>
        <v>19.016599128999943</v>
      </c>
    </row>
    <row r="47" spans="1:18" x14ac:dyDescent="0.25">
      <c r="A47" t="s">
        <v>41</v>
      </c>
      <c r="B47" s="1">
        <v>2626.1086959999998</v>
      </c>
      <c r="C47" s="1">
        <v>822.8720227</v>
      </c>
      <c r="D47" s="1">
        <v>0.673469388</v>
      </c>
      <c r="E47" s="1">
        <v>0.47380354099999999</v>
      </c>
      <c r="F47" s="1">
        <v>625</v>
      </c>
      <c r="G47" s="1">
        <v>2627.8723399999999</v>
      </c>
      <c r="H47" s="1">
        <v>823.51132140000004</v>
      </c>
      <c r="I47" s="1">
        <v>0.8125</v>
      </c>
      <c r="J47" s="1">
        <v>0.39444277999999999</v>
      </c>
      <c r="K47" s="1">
        <f>(B47+Table810[[#This Row],[grt]])/2</f>
        <v>2626.9905179999996</v>
      </c>
      <c r="L47" s="1">
        <f>(Table810[[#This Row],[prtsd]]+Table810[[#This Row],[grtsd]])/2</f>
        <v>823.19167205000008</v>
      </c>
      <c r="M47" s="1">
        <f>(Table810[[#This Row],[pacc]]+Table810[[#This Row],[gacc]])/2</f>
        <v>0.742984694</v>
      </c>
      <c r="N47" s="1">
        <f>(Table810[[#This Row],[paccsd]]+Table810[[#This Row],[gaccsd]])/2</f>
        <v>0.43412316049999999</v>
      </c>
      <c r="O47">
        <f>Table810[[#This Row],[mrt]]-(Table810[[#This Row],[macc]]*1000)</f>
        <v>1884.0058239999996</v>
      </c>
      <c r="P47" s="9">
        <f>(Table810[[#This Row],[prt]]-Table810[[#This Row],[grt]])</f>
        <v>-1.763644000000113</v>
      </c>
      <c r="Q47" s="8">
        <f>Table810[[#This Row],[pacc]]-Table810[[#This Row],[gacc]]</f>
        <v>-0.139030612</v>
      </c>
      <c r="R47" s="8">
        <f>Table810[[#This Row],[rt_pairing_score]]-Table810[[#This Row],[acc_pairing_score]]</f>
        <v>-1.624613388000113</v>
      </c>
    </row>
    <row r="48" spans="1:18" x14ac:dyDescent="0.25">
      <c r="A48" t="s">
        <v>19</v>
      </c>
      <c r="B48" s="1">
        <v>2596.6956519999999</v>
      </c>
      <c r="C48" s="1">
        <v>820.00958990000004</v>
      </c>
      <c r="D48" s="1">
        <v>0.591836735</v>
      </c>
      <c r="E48" s="1">
        <v>0.49658699099999998</v>
      </c>
      <c r="F48" s="1">
        <v>588</v>
      </c>
      <c r="G48" s="1">
        <v>2591.1777780000002</v>
      </c>
      <c r="H48" s="1">
        <v>818.40013799999997</v>
      </c>
      <c r="I48" s="1">
        <v>0.83333333300000001</v>
      </c>
      <c r="J48" s="1">
        <v>0.37662178899999998</v>
      </c>
      <c r="K48" s="1">
        <f>(B48+Table810[[#This Row],[grt]])/2</f>
        <v>2593.9367149999998</v>
      </c>
      <c r="L48" s="1">
        <f>(Table810[[#This Row],[prtsd]]+Table810[[#This Row],[grtsd]])/2</f>
        <v>819.20486395</v>
      </c>
      <c r="M48" s="1">
        <f>(Table810[[#This Row],[pacc]]+Table810[[#This Row],[gacc]])/2</f>
        <v>0.71258503399999995</v>
      </c>
      <c r="N48" s="1">
        <f>(Table810[[#This Row],[paccsd]]+Table810[[#This Row],[gaccsd]])/2</f>
        <v>0.43660438999999995</v>
      </c>
      <c r="O48">
        <f>Table810[[#This Row],[mrt]]-(Table810[[#This Row],[macc]]*1000)</f>
        <v>1881.3516809999999</v>
      </c>
      <c r="P48" s="9">
        <f>(Table810[[#This Row],[prt]]-Table810[[#This Row],[grt]])</f>
        <v>5.5178739999996651</v>
      </c>
      <c r="Q48" s="8">
        <f>Table810[[#This Row],[pacc]]-Table810[[#This Row],[gacc]]</f>
        <v>-0.24149659800000001</v>
      </c>
      <c r="R48" s="8">
        <f>Table810[[#This Row],[rt_pairing_score]]-Table810[[#This Row],[acc_pairing_score]]</f>
        <v>5.7593705979996654</v>
      </c>
    </row>
    <row r="49" spans="1:18" x14ac:dyDescent="0.25">
      <c r="A49" t="s">
        <v>47</v>
      </c>
      <c r="B49" s="1">
        <v>2486.854167</v>
      </c>
      <c r="C49" s="1">
        <v>790.84062440000002</v>
      </c>
      <c r="D49" s="1">
        <v>0.7</v>
      </c>
      <c r="E49" s="1">
        <v>0.46291005000000002</v>
      </c>
      <c r="F49" s="1">
        <v>825</v>
      </c>
      <c r="G49" s="1">
        <v>2495.2888889999999</v>
      </c>
      <c r="H49" s="1">
        <v>790.83651399999997</v>
      </c>
      <c r="I49" s="1">
        <v>0.52083333300000001</v>
      </c>
      <c r="J49" s="1">
        <v>0.50485234099999998</v>
      </c>
      <c r="K49" s="1">
        <f>(B49+Table810[[#This Row],[grt]])/2</f>
        <v>2491.0715279999999</v>
      </c>
      <c r="L49" s="1">
        <f>(Table810[[#This Row],[prtsd]]+Table810[[#This Row],[grtsd]])/2</f>
        <v>790.83856919999994</v>
      </c>
      <c r="M49" s="1">
        <f>(Table810[[#This Row],[pacc]]+Table810[[#This Row],[gacc]])/2</f>
        <v>0.61041666649999993</v>
      </c>
      <c r="N49" s="1">
        <f>(Table810[[#This Row],[paccsd]]+Table810[[#This Row],[gaccsd]])/2</f>
        <v>0.48388119549999997</v>
      </c>
      <c r="O49">
        <f>Table810[[#This Row],[mrt]]-(Table810[[#This Row],[macc]]*1000)</f>
        <v>1880.6548615000002</v>
      </c>
      <c r="P49" s="9">
        <f>(Table810[[#This Row],[prt]]-Table810[[#This Row],[grt]])</f>
        <v>-8.4347219999999652</v>
      </c>
      <c r="Q49" s="8">
        <f>Table810[[#This Row],[pacc]]-Table810[[#This Row],[gacc]]</f>
        <v>0.17916666699999995</v>
      </c>
      <c r="R49" s="8">
        <f>Table810[[#This Row],[rt_pairing_score]]-Table810[[#This Row],[acc_pairing_score]]</f>
        <v>-8.6138886669999657</v>
      </c>
    </row>
    <row r="50" spans="1:18" x14ac:dyDescent="0.25">
      <c r="A50" t="s">
        <v>143</v>
      </c>
      <c r="B50" s="1">
        <v>2556.354167</v>
      </c>
      <c r="C50" s="1">
        <v>780.27691460000005</v>
      </c>
      <c r="D50" s="1">
        <v>0.87755101999999996</v>
      </c>
      <c r="E50" s="1">
        <v>0.33120066100000001</v>
      </c>
      <c r="F50" s="1">
        <v>311</v>
      </c>
      <c r="G50" s="1">
        <v>2564.1777780000002</v>
      </c>
      <c r="H50" s="1">
        <v>789.33266660000004</v>
      </c>
      <c r="I50" s="1">
        <v>0.48936170200000001</v>
      </c>
      <c r="J50" s="1">
        <v>0.50529115300000005</v>
      </c>
      <c r="K50" s="1">
        <f>(B50+Table810[[#This Row],[grt]])/2</f>
        <v>2560.2659725000003</v>
      </c>
      <c r="L50" s="1">
        <f>(Table810[[#This Row],[prtsd]]+Table810[[#This Row],[grtsd]])/2</f>
        <v>784.80479060000005</v>
      </c>
      <c r="M50" s="1">
        <f>(Table810[[#This Row],[pacc]]+Table810[[#This Row],[gacc]])/2</f>
        <v>0.68345636099999996</v>
      </c>
      <c r="N50" s="1">
        <f>(Table810[[#This Row],[paccsd]]+Table810[[#This Row],[gaccsd]])/2</f>
        <v>0.41824590700000003</v>
      </c>
      <c r="O50">
        <f>Table810[[#This Row],[mrt]]-(Table810[[#This Row],[macc]]*1000)</f>
        <v>1876.8096115000003</v>
      </c>
      <c r="P50" s="9">
        <f>(Table810[[#This Row],[prt]]-Table810[[#This Row],[grt]])</f>
        <v>-7.8236110000002554</v>
      </c>
      <c r="Q50" s="8">
        <f>Table810[[#This Row],[pacc]]-Table810[[#This Row],[gacc]]</f>
        <v>0.38818931799999995</v>
      </c>
      <c r="R50" s="8">
        <f>Table810[[#This Row],[rt_pairing_score]]-Table810[[#This Row],[acc_pairing_score]]</f>
        <v>-8.2118003180002557</v>
      </c>
    </row>
    <row r="51" spans="1:18" x14ac:dyDescent="0.25">
      <c r="A51" t="s">
        <v>35</v>
      </c>
      <c r="B51" s="1">
        <v>2635.875</v>
      </c>
      <c r="C51" s="1">
        <v>843.80033500000002</v>
      </c>
      <c r="D51" s="1">
        <v>0.64583333300000001</v>
      </c>
      <c r="E51" s="1">
        <v>0.48332110499999997</v>
      </c>
      <c r="F51" s="1">
        <v>465</v>
      </c>
      <c r="G51" s="1">
        <v>2626.085106</v>
      </c>
      <c r="H51" s="1">
        <v>850.07055539999999</v>
      </c>
      <c r="I51" s="1">
        <v>0.87234042599999995</v>
      </c>
      <c r="J51" s="1">
        <v>0.33731814900000001</v>
      </c>
      <c r="K51" s="1">
        <f>(B51+Table810[[#This Row],[grt]])/2</f>
        <v>2630.9800530000002</v>
      </c>
      <c r="L51" s="1">
        <f>(Table810[[#This Row],[prtsd]]+Table810[[#This Row],[grtsd]])/2</f>
        <v>846.9354452</v>
      </c>
      <c r="M51" s="1">
        <f>(Table810[[#This Row],[pacc]]+Table810[[#This Row],[gacc]])/2</f>
        <v>0.75908687949999998</v>
      </c>
      <c r="N51" s="1">
        <f>(Table810[[#This Row],[paccsd]]+Table810[[#This Row],[gaccsd]])/2</f>
        <v>0.41031962700000002</v>
      </c>
      <c r="O51">
        <f>Table810[[#This Row],[mrt]]-(Table810[[#This Row],[macc]]*1000)</f>
        <v>1871.8931735000001</v>
      </c>
      <c r="P51" s="9">
        <f>(Table810[[#This Row],[prt]]-Table810[[#This Row],[grt]])</f>
        <v>9.7898940000000039</v>
      </c>
      <c r="Q51" s="8">
        <f>Table810[[#This Row],[pacc]]-Table810[[#This Row],[gacc]]</f>
        <v>-0.22650709299999994</v>
      </c>
      <c r="R51" s="8">
        <f>Table810[[#This Row],[rt_pairing_score]]-Table810[[#This Row],[acc_pairing_score]]</f>
        <v>10.016401093000004</v>
      </c>
    </row>
    <row r="52" spans="1:18" x14ac:dyDescent="0.25">
      <c r="A52" t="s">
        <v>135</v>
      </c>
      <c r="B52" s="1">
        <v>2604.104167</v>
      </c>
      <c r="C52" s="1">
        <v>798.11901850000004</v>
      </c>
      <c r="D52" s="1">
        <v>0.85714285700000004</v>
      </c>
      <c r="E52" s="1">
        <v>0.35355339099999999</v>
      </c>
      <c r="F52" s="1">
        <v>445</v>
      </c>
      <c r="G52" s="1">
        <v>2617.8297870000001</v>
      </c>
      <c r="H52" s="1">
        <v>795.20132309999997</v>
      </c>
      <c r="I52" s="1">
        <v>0.625</v>
      </c>
      <c r="J52" s="1">
        <v>0.48924605500000001</v>
      </c>
      <c r="K52" s="1">
        <f>(B52+Table810[[#This Row],[grt]])/2</f>
        <v>2610.966977</v>
      </c>
      <c r="L52" s="1">
        <f>(Table810[[#This Row],[prtsd]]+Table810[[#This Row],[grtsd]])/2</f>
        <v>796.66017080000006</v>
      </c>
      <c r="M52" s="1">
        <f>(Table810[[#This Row],[pacc]]+Table810[[#This Row],[gacc]])/2</f>
        <v>0.74107142849999996</v>
      </c>
      <c r="N52" s="1">
        <f>(Table810[[#This Row],[paccsd]]+Table810[[#This Row],[gaccsd]])/2</f>
        <v>0.421399723</v>
      </c>
      <c r="O52">
        <f>Table810[[#This Row],[mrt]]-(Table810[[#This Row],[macc]]*1000)</f>
        <v>1869.8955485000001</v>
      </c>
      <c r="P52" s="9">
        <f>(Table810[[#This Row],[prt]]-Table810[[#This Row],[grt]])</f>
        <v>-13.725620000000163</v>
      </c>
      <c r="Q52" s="8">
        <f>Table810[[#This Row],[pacc]]-Table810[[#This Row],[gacc]]</f>
        <v>0.23214285700000004</v>
      </c>
      <c r="R52" s="8">
        <f>Table810[[#This Row],[rt_pairing_score]]-Table810[[#This Row],[acc_pairing_score]]</f>
        <v>-13.957762857000162</v>
      </c>
    </row>
    <row r="53" spans="1:18" x14ac:dyDescent="0.25">
      <c r="A53" t="s">
        <v>11</v>
      </c>
      <c r="B53" s="1">
        <v>2544.636364</v>
      </c>
      <c r="C53" s="1">
        <v>637.72597789999998</v>
      </c>
      <c r="D53" s="1">
        <v>0.55102040799999996</v>
      </c>
      <c r="E53" s="1">
        <v>0.50254454599999998</v>
      </c>
      <c r="F53" s="1">
        <v>296</v>
      </c>
      <c r="G53" s="1">
        <v>2547.7021279999999</v>
      </c>
      <c r="H53" s="1">
        <v>638.83929780000005</v>
      </c>
      <c r="I53" s="1">
        <v>0.808510638</v>
      </c>
      <c r="J53" s="1">
        <v>0.39772712300000002</v>
      </c>
      <c r="K53" s="1">
        <f>(B53+Table810[[#This Row],[grt]])/2</f>
        <v>2546.1692459999999</v>
      </c>
      <c r="L53" s="1">
        <f>(Table810[[#This Row],[prtsd]]+Table810[[#This Row],[grtsd]])/2</f>
        <v>638.28263785000001</v>
      </c>
      <c r="M53" s="1">
        <f>(Table810[[#This Row],[pacc]]+Table810[[#This Row],[gacc]])/2</f>
        <v>0.67976552299999993</v>
      </c>
      <c r="N53" s="1">
        <f>(Table810[[#This Row],[paccsd]]+Table810[[#This Row],[gaccsd]])/2</f>
        <v>0.4501358345</v>
      </c>
      <c r="O53">
        <f>Table810[[#This Row],[mrt]]-(Table810[[#This Row],[macc]]*1000)</f>
        <v>1866.4037229999999</v>
      </c>
      <c r="P53" s="9">
        <f>(Table810[[#This Row],[prt]]-Table810[[#This Row],[grt]])</f>
        <v>-3.0657639999999446</v>
      </c>
      <c r="Q53" s="8">
        <f>Table810[[#This Row],[pacc]]-Table810[[#This Row],[gacc]]</f>
        <v>-0.25749023000000004</v>
      </c>
      <c r="R53" s="8">
        <f>Table810[[#This Row],[rt_pairing_score]]-Table810[[#This Row],[acc_pairing_score]]</f>
        <v>-2.8082737699999445</v>
      </c>
    </row>
    <row r="54" spans="1:18" x14ac:dyDescent="0.25">
      <c r="A54" t="s">
        <v>64</v>
      </c>
      <c r="B54" s="1">
        <v>2602.520833</v>
      </c>
      <c r="C54" s="1">
        <v>764.45558400000004</v>
      </c>
      <c r="D54" s="1">
        <v>0.73469387799999997</v>
      </c>
      <c r="E54" s="1">
        <v>0.44607128600000001</v>
      </c>
      <c r="F54" s="1">
        <v>707</v>
      </c>
      <c r="G54" s="1">
        <v>2602.7045450000001</v>
      </c>
      <c r="H54" s="1">
        <v>771.53684080000005</v>
      </c>
      <c r="I54" s="1">
        <v>0.74468085100000003</v>
      </c>
      <c r="J54" s="1">
        <v>0.44075454600000002</v>
      </c>
      <c r="K54" s="1">
        <f>(B54+Table810[[#This Row],[grt]])/2</f>
        <v>2602.612689</v>
      </c>
      <c r="L54" s="1">
        <f>(Table810[[#This Row],[prtsd]]+Table810[[#This Row],[grtsd]])/2</f>
        <v>767.9962124000001</v>
      </c>
      <c r="M54" s="1">
        <f>(Table810[[#This Row],[pacc]]+Table810[[#This Row],[gacc]])/2</f>
        <v>0.73968736449999994</v>
      </c>
      <c r="N54" s="1">
        <f>(Table810[[#This Row],[paccsd]]+Table810[[#This Row],[gaccsd]])/2</f>
        <v>0.44341291599999999</v>
      </c>
      <c r="O54">
        <f>Table810[[#This Row],[mrt]]-(Table810[[#This Row],[macc]]*1000)</f>
        <v>1862.9253245</v>
      </c>
      <c r="P54" s="9">
        <f>(Table810[[#This Row],[prt]]-Table810[[#This Row],[grt]])</f>
        <v>-0.18371200000001409</v>
      </c>
      <c r="Q54" s="8">
        <f>Table810[[#This Row],[pacc]]-Table810[[#This Row],[gacc]]</f>
        <v>-9.9869730000000656E-3</v>
      </c>
      <c r="R54" s="8">
        <f>Table810[[#This Row],[rt_pairing_score]]-Table810[[#This Row],[acc_pairing_score]]</f>
        <v>-0.17372502700001402</v>
      </c>
    </row>
    <row r="55" spans="1:18" x14ac:dyDescent="0.25">
      <c r="A55" t="s">
        <v>59</v>
      </c>
      <c r="B55" s="1">
        <v>2585.3404260000002</v>
      </c>
      <c r="C55" s="1">
        <v>711.23998510000001</v>
      </c>
      <c r="D55" s="1">
        <v>0.72916666699999999</v>
      </c>
      <c r="E55" s="1">
        <v>0.44909285999999998</v>
      </c>
      <c r="F55" s="1">
        <v>981</v>
      </c>
      <c r="G55" s="1">
        <v>2564.619048</v>
      </c>
      <c r="H55" s="1">
        <v>712.50081569999998</v>
      </c>
      <c r="I55" s="1">
        <v>0.70212766000000004</v>
      </c>
      <c r="J55" s="1">
        <v>0.46226726800000001</v>
      </c>
      <c r="K55" s="1">
        <f>(B55+Table810[[#This Row],[grt]])/2</f>
        <v>2574.9797370000001</v>
      </c>
      <c r="L55" s="1">
        <f>(Table810[[#This Row],[prtsd]]+Table810[[#This Row],[grtsd]])/2</f>
        <v>711.87040039999999</v>
      </c>
      <c r="M55" s="1">
        <f>(Table810[[#This Row],[pacc]]+Table810[[#This Row],[gacc]])/2</f>
        <v>0.71564716350000002</v>
      </c>
      <c r="N55" s="1">
        <f>(Table810[[#This Row],[paccsd]]+Table810[[#This Row],[gaccsd]])/2</f>
        <v>0.455680064</v>
      </c>
      <c r="O55">
        <f>Table810[[#This Row],[mrt]]-(Table810[[#This Row],[macc]]*1000)</f>
        <v>1859.3325735000001</v>
      </c>
      <c r="P55" s="9">
        <f>(Table810[[#This Row],[prt]]-Table810[[#This Row],[grt]])</f>
        <v>20.721378000000186</v>
      </c>
      <c r="Q55" s="8">
        <f>Table810[[#This Row],[pacc]]-Table810[[#This Row],[gacc]]</f>
        <v>2.7039006999999948E-2</v>
      </c>
      <c r="R55" s="8">
        <f>Table810[[#This Row],[rt_pairing_score]]-Table810[[#This Row],[acc_pairing_score]]</f>
        <v>20.694338993000187</v>
      </c>
    </row>
    <row r="56" spans="1:18" x14ac:dyDescent="0.25">
      <c r="A56" t="s">
        <v>49</v>
      </c>
      <c r="B56" s="1">
        <v>2483.875</v>
      </c>
      <c r="C56" s="1">
        <v>897.52431660000002</v>
      </c>
      <c r="D56" s="1">
        <v>0.70833333300000001</v>
      </c>
      <c r="E56" s="1">
        <v>0.45933964300000002</v>
      </c>
      <c r="F56" s="1">
        <v>200</v>
      </c>
      <c r="G56" s="1">
        <v>2473.4255320000002</v>
      </c>
      <c r="H56" s="1">
        <v>904.05551830000002</v>
      </c>
      <c r="I56" s="1">
        <v>0.54166666699999999</v>
      </c>
      <c r="J56" s="1">
        <v>0.50353361299999999</v>
      </c>
      <c r="K56" s="1">
        <f>(B56+Table810[[#This Row],[grt]])/2</f>
        <v>2478.6502660000001</v>
      </c>
      <c r="L56" s="1">
        <f>(Table810[[#This Row],[prtsd]]+Table810[[#This Row],[grtsd]])/2</f>
        <v>900.78991745000008</v>
      </c>
      <c r="M56" s="1">
        <f>(Table810[[#This Row],[pacc]]+Table810[[#This Row],[gacc]])/2</f>
        <v>0.625</v>
      </c>
      <c r="N56" s="1">
        <f>(Table810[[#This Row],[paccsd]]+Table810[[#This Row],[gaccsd]])/2</f>
        <v>0.48143662799999998</v>
      </c>
      <c r="O56">
        <f>Table810[[#This Row],[mrt]]-(Table810[[#This Row],[macc]]*1000)</f>
        <v>1853.6502660000001</v>
      </c>
      <c r="P56" s="9">
        <f>(Table810[[#This Row],[prt]]-Table810[[#This Row],[grt]])</f>
        <v>10.449467999999797</v>
      </c>
      <c r="Q56" s="8">
        <f>Table810[[#This Row],[pacc]]-Table810[[#This Row],[gacc]]</f>
        <v>0.16666666600000002</v>
      </c>
      <c r="R56" s="8">
        <f>Table810[[#This Row],[rt_pairing_score]]-Table810[[#This Row],[acc_pairing_score]]</f>
        <v>10.282801333999798</v>
      </c>
    </row>
    <row r="57" spans="1:18" x14ac:dyDescent="0.25">
      <c r="A57" t="s">
        <v>15</v>
      </c>
      <c r="B57" s="1">
        <v>2475.458333</v>
      </c>
      <c r="C57" s="1">
        <v>911.35953989999996</v>
      </c>
      <c r="D57" s="1">
        <v>0.591836735</v>
      </c>
      <c r="E57" s="1">
        <v>0.49658699099999998</v>
      </c>
      <c r="F57" s="1">
        <v>198</v>
      </c>
      <c r="G57" s="1">
        <v>2492.708333</v>
      </c>
      <c r="H57" s="1">
        <v>907.31825939999999</v>
      </c>
      <c r="I57" s="1">
        <v>0.6875</v>
      </c>
      <c r="J57" s="1">
        <v>0.46841743499999999</v>
      </c>
      <c r="K57" s="1">
        <f>(B57+Table810[[#This Row],[grt]])/2</f>
        <v>2484.083333</v>
      </c>
      <c r="L57" s="1">
        <f>(Table810[[#This Row],[prtsd]]+Table810[[#This Row],[grtsd]])/2</f>
        <v>909.33889965000003</v>
      </c>
      <c r="M57" s="1">
        <f>(Table810[[#This Row],[pacc]]+Table810[[#This Row],[gacc]])/2</f>
        <v>0.6396683675</v>
      </c>
      <c r="N57" s="1">
        <f>(Table810[[#This Row],[paccsd]]+Table810[[#This Row],[gaccsd]])/2</f>
        <v>0.48250221299999996</v>
      </c>
      <c r="O57">
        <f>Table810[[#This Row],[mrt]]-(Table810[[#This Row],[macc]]*1000)</f>
        <v>1844.4149655000001</v>
      </c>
      <c r="P57" s="9">
        <f>(Table810[[#This Row],[prt]]-Table810[[#This Row],[grt]])</f>
        <v>-17.25</v>
      </c>
      <c r="Q57" s="8">
        <f>Table810[[#This Row],[pacc]]-Table810[[#This Row],[gacc]]</f>
        <v>-9.5663264999999997E-2</v>
      </c>
      <c r="R57" s="8">
        <f>Table810[[#This Row],[rt_pairing_score]]-Table810[[#This Row],[acc_pairing_score]]</f>
        <v>-17.154336735000001</v>
      </c>
    </row>
    <row r="58" spans="1:18" x14ac:dyDescent="0.25">
      <c r="A58" t="s">
        <v>34</v>
      </c>
      <c r="B58" s="1">
        <v>2586.895833</v>
      </c>
      <c r="C58" s="1">
        <v>768.39745479999999</v>
      </c>
      <c r="D58" s="1">
        <v>0.64583333300000001</v>
      </c>
      <c r="E58" s="1">
        <v>0.48332110499999997</v>
      </c>
      <c r="F58" s="1">
        <v>875</v>
      </c>
      <c r="G58" s="1">
        <v>2578.0217389999998</v>
      </c>
      <c r="H58" s="1">
        <v>764.74668250000002</v>
      </c>
      <c r="I58" s="1">
        <v>0.83333333300000001</v>
      </c>
      <c r="J58" s="1">
        <v>0.37662178899999998</v>
      </c>
      <c r="K58" s="1">
        <f>(B58+Table810[[#This Row],[grt]])/2</f>
        <v>2582.4587860000001</v>
      </c>
      <c r="L58" s="1">
        <f>(Table810[[#This Row],[prtsd]]+Table810[[#This Row],[grtsd]])/2</f>
        <v>766.57206865000001</v>
      </c>
      <c r="M58" s="1">
        <f>(Table810[[#This Row],[pacc]]+Table810[[#This Row],[gacc]])/2</f>
        <v>0.73958333300000001</v>
      </c>
      <c r="N58" s="1">
        <f>(Table810[[#This Row],[paccsd]]+Table810[[#This Row],[gaccsd]])/2</f>
        <v>0.42997144700000001</v>
      </c>
      <c r="O58">
        <f>Table810[[#This Row],[mrt]]-(Table810[[#This Row],[macc]]*1000)</f>
        <v>1842.8754530000001</v>
      </c>
      <c r="P58" s="9">
        <f>(Table810[[#This Row],[prt]]-Table810[[#This Row],[grt]])</f>
        <v>8.8740940000002411</v>
      </c>
      <c r="Q58" s="8">
        <f>Table810[[#This Row],[pacc]]-Table810[[#This Row],[gacc]]</f>
        <v>-0.1875</v>
      </c>
      <c r="R58" s="8">
        <f>Table810[[#This Row],[rt_pairing_score]]-Table810[[#This Row],[acc_pairing_score]]</f>
        <v>9.0615940000002411</v>
      </c>
    </row>
    <row r="59" spans="1:18" x14ac:dyDescent="0.25">
      <c r="A59" t="s">
        <v>13</v>
      </c>
      <c r="B59" s="1">
        <v>2570.916667</v>
      </c>
      <c r="C59" s="1">
        <v>587.30577900000003</v>
      </c>
      <c r="D59" s="1">
        <v>0.591836735</v>
      </c>
      <c r="E59" s="1">
        <v>0.49658699099999998</v>
      </c>
      <c r="F59" s="1">
        <v>388</v>
      </c>
      <c r="G59" s="1">
        <v>2575.2826089999999</v>
      </c>
      <c r="H59" s="1">
        <v>603.7934401</v>
      </c>
      <c r="I59" s="1">
        <v>0.875</v>
      </c>
      <c r="J59" s="1">
        <v>0.33421868199999999</v>
      </c>
      <c r="K59" s="1">
        <f>(B59+Table810[[#This Row],[grt]])/2</f>
        <v>2573.0996379999997</v>
      </c>
      <c r="L59" s="1">
        <f>(Table810[[#This Row],[prtsd]]+Table810[[#This Row],[grtsd]])/2</f>
        <v>595.54960955000001</v>
      </c>
      <c r="M59" s="1">
        <f>(Table810[[#This Row],[pacc]]+Table810[[#This Row],[gacc]])/2</f>
        <v>0.7334183675</v>
      </c>
      <c r="N59" s="1">
        <f>(Table810[[#This Row],[paccsd]]+Table810[[#This Row],[gaccsd]])/2</f>
        <v>0.41540283649999998</v>
      </c>
      <c r="O59">
        <f>Table810[[#This Row],[mrt]]-(Table810[[#This Row],[macc]]*1000)</f>
        <v>1839.6812704999998</v>
      </c>
      <c r="P59" s="9">
        <f>(Table810[[#This Row],[prt]]-Table810[[#This Row],[grt]])</f>
        <v>-4.3659419999999045</v>
      </c>
      <c r="Q59" s="8">
        <f>Table810[[#This Row],[pacc]]-Table810[[#This Row],[gacc]]</f>
        <v>-0.283163265</v>
      </c>
      <c r="R59" s="8">
        <f>Table810[[#This Row],[rt_pairing_score]]-Table810[[#This Row],[acc_pairing_score]]</f>
        <v>-4.0827787349999047</v>
      </c>
    </row>
    <row r="60" spans="1:18" x14ac:dyDescent="0.25">
      <c r="A60" t="s">
        <v>82</v>
      </c>
      <c r="B60" s="1">
        <v>2539.3125</v>
      </c>
      <c r="C60" s="1">
        <v>920.47025810000002</v>
      </c>
      <c r="D60" s="1">
        <v>0.77551020400000004</v>
      </c>
      <c r="E60" s="1">
        <v>0.42156979100000003</v>
      </c>
      <c r="F60" s="1">
        <v>253</v>
      </c>
      <c r="G60" s="1">
        <v>2574.8478260000002</v>
      </c>
      <c r="H60" s="1">
        <v>903.55374840000002</v>
      </c>
      <c r="I60" s="1">
        <v>0.65957446799999997</v>
      </c>
      <c r="J60" s="1">
        <v>0.47897516200000001</v>
      </c>
      <c r="K60" s="1">
        <f>(B60+Table810[[#This Row],[grt]])/2</f>
        <v>2557.0801630000001</v>
      </c>
      <c r="L60" s="1">
        <f>(Table810[[#This Row],[prtsd]]+Table810[[#This Row],[grtsd]])/2</f>
        <v>912.01200325000002</v>
      </c>
      <c r="M60" s="1">
        <f>(Table810[[#This Row],[pacc]]+Table810[[#This Row],[gacc]])/2</f>
        <v>0.71754233599999995</v>
      </c>
      <c r="N60" s="1">
        <f>(Table810[[#This Row],[paccsd]]+Table810[[#This Row],[gaccsd]])/2</f>
        <v>0.45027247650000002</v>
      </c>
      <c r="O60">
        <f>Table810[[#This Row],[mrt]]-(Table810[[#This Row],[macc]]*1000)</f>
        <v>1839.5378270000001</v>
      </c>
      <c r="P60" s="9">
        <f>(Table810[[#This Row],[prt]]-Table810[[#This Row],[grt]])</f>
        <v>-35.535326000000168</v>
      </c>
      <c r="Q60" s="8">
        <f>Table810[[#This Row],[pacc]]-Table810[[#This Row],[gacc]]</f>
        <v>0.11593573600000007</v>
      </c>
      <c r="R60" s="8">
        <f>Table810[[#This Row],[rt_pairing_score]]-Table810[[#This Row],[acc_pairing_score]]</f>
        <v>-35.651261736000166</v>
      </c>
    </row>
    <row r="61" spans="1:18" x14ac:dyDescent="0.25">
      <c r="A61" t="s">
        <v>46</v>
      </c>
      <c r="B61" s="1">
        <v>2589.622222</v>
      </c>
      <c r="C61" s="1">
        <v>867.64821340000003</v>
      </c>
      <c r="D61" s="1">
        <v>0.7</v>
      </c>
      <c r="E61" s="1">
        <v>0.46291005000000002</v>
      </c>
      <c r="F61" s="1">
        <v>848</v>
      </c>
      <c r="G61" s="1">
        <v>2586.7045450000001</v>
      </c>
      <c r="H61" s="1">
        <v>860.34032149999996</v>
      </c>
      <c r="I61" s="1">
        <v>0.808510638</v>
      </c>
      <c r="J61" s="1">
        <v>0.39772712300000002</v>
      </c>
      <c r="K61" s="1">
        <f>(B61+Table810[[#This Row],[grt]])/2</f>
        <v>2588.1633835000002</v>
      </c>
      <c r="L61" s="1">
        <f>(Table810[[#This Row],[prtsd]]+Table810[[#This Row],[grtsd]])/2</f>
        <v>863.99426745000005</v>
      </c>
      <c r="M61" s="1">
        <f>(Table810[[#This Row],[pacc]]+Table810[[#This Row],[gacc]])/2</f>
        <v>0.75425531899999998</v>
      </c>
      <c r="N61" s="1">
        <f>(Table810[[#This Row],[paccsd]]+Table810[[#This Row],[gaccsd]])/2</f>
        <v>0.43031858649999999</v>
      </c>
      <c r="O61">
        <f>Table810[[#This Row],[mrt]]-(Table810[[#This Row],[macc]]*1000)</f>
        <v>1833.9080645000004</v>
      </c>
      <c r="P61" s="9">
        <f>(Table810[[#This Row],[prt]]-Table810[[#This Row],[grt]])</f>
        <v>2.9176769999999124</v>
      </c>
      <c r="Q61" s="8">
        <f>Table810[[#This Row],[pacc]]-Table810[[#This Row],[gacc]]</f>
        <v>-0.10851063800000005</v>
      </c>
      <c r="R61" s="8">
        <f>Table810[[#This Row],[rt_pairing_score]]-Table810[[#This Row],[acc_pairing_score]]</f>
        <v>3.0261876379999126</v>
      </c>
    </row>
    <row r="62" spans="1:18" x14ac:dyDescent="0.25">
      <c r="A62" t="s">
        <v>27</v>
      </c>
      <c r="B62" s="1">
        <v>2587.333333</v>
      </c>
      <c r="C62" s="1">
        <v>663.5414763</v>
      </c>
      <c r="D62" s="1">
        <v>0.61224489800000004</v>
      </c>
      <c r="E62" s="1">
        <v>0.49228745499999998</v>
      </c>
      <c r="F62" s="1">
        <v>754</v>
      </c>
      <c r="G62" s="1">
        <v>2550.4347830000002</v>
      </c>
      <c r="H62" s="1">
        <v>654.37083110000003</v>
      </c>
      <c r="I62" s="1">
        <v>0.875</v>
      </c>
      <c r="J62" s="1">
        <v>0.33421868199999999</v>
      </c>
      <c r="K62" s="1">
        <f>(B62+Table810[[#This Row],[grt]])/2</f>
        <v>2568.8840580000001</v>
      </c>
      <c r="L62" s="1">
        <f>(Table810[[#This Row],[prtsd]]+Table810[[#This Row],[grtsd]])/2</f>
        <v>658.95615369999996</v>
      </c>
      <c r="M62" s="1">
        <f>(Table810[[#This Row],[pacc]]+Table810[[#This Row],[gacc]])/2</f>
        <v>0.74362244900000007</v>
      </c>
      <c r="N62" s="1">
        <f>(Table810[[#This Row],[paccsd]]+Table810[[#This Row],[gaccsd]])/2</f>
        <v>0.41325306849999999</v>
      </c>
      <c r="O62">
        <f>Table810[[#This Row],[mrt]]-(Table810[[#This Row],[macc]]*1000)</f>
        <v>1825.2616090000001</v>
      </c>
      <c r="P62" s="9">
        <f>(Table810[[#This Row],[prt]]-Table810[[#This Row],[grt]])</f>
        <v>36.898549999999886</v>
      </c>
      <c r="Q62" s="8">
        <f>Table810[[#This Row],[pacc]]-Table810[[#This Row],[gacc]]</f>
        <v>-0.26275510199999996</v>
      </c>
      <c r="R62" s="8">
        <f>Table810[[#This Row],[rt_pairing_score]]-Table810[[#This Row],[acc_pairing_score]]</f>
        <v>37.161305101999886</v>
      </c>
    </row>
    <row r="63" spans="1:18" x14ac:dyDescent="0.25">
      <c r="A63" t="s">
        <v>40</v>
      </c>
      <c r="B63" s="1">
        <v>2589.914894</v>
      </c>
      <c r="C63" s="1">
        <v>800.53394760000003</v>
      </c>
      <c r="D63" s="1">
        <v>0.673469388</v>
      </c>
      <c r="E63" s="1">
        <v>0.47380354099999999</v>
      </c>
      <c r="F63" s="1">
        <v>344</v>
      </c>
      <c r="G63" s="1">
        <v>2581.9361699999999</v>
      </c>
      <c r="H63" s="1">
        <v>792.9498423</v>
      </c>
      <c r="I63" s="1">
        <v>0.85416666699999999</v>
      </c>
      <c r="J63" s="1">
        <v>0.35667395800000001</v>
      </c>
      <c r="K63" s="1">
        <f>(B63+Table810[[#This Row],[grt]])/2</f>
        <v>2585.9255320000002</v>
      </c>
      <c r="L63" s="1">
        <f>(Table810[[#This Row],[prtsd]]+Table810[[#This Row],[grtsd]])/2</f>
        <v>796.74189494999996</v>
      </c>
      <c r="M63" s="1">
        <f>(Table810[[#This Row],[pacc]]+Table810[[#This Row],[gacc]])/2</f>
        <v>0.76381802749999994</v>
      </c>
      <c r="N63" s="1">
        <f>(Table810[[#This Row],[paccsd]]+Table810[[#This Row],[gaccsd]])/2</f>
        <v>0.4152387495</v>
      </c>
      <c r="O63">
        <f>Table810[[#This Row],[mrt]]-(Table810[[#This Row],[macc]]*1000)</f>
        <v>1822.1075045000002</v>
      </c>
      <c r="P63" s="9">
        <f>(Table810[[#This Row],[prt]]-Table810[[#This Row],[grt]])</f>
        <v>7.9787240000000565</v>
      </c>
      <c r="Q63" s="8">
        <f>Table810[[#This Row],[pacc]]-Table810[[#This Row],[gacc]]</f>
        <v>-0.18069727899999999</v>
      </c>
      <c r="R63" s="8">
        <f>Table810[[#This Row],[rt_pairing_score]]-Table810[[#This Row],[acc_pairing_score]]</f>
        <v>8.1594212790000569</v>
      </c>
    </row>
    <row r="64" spans="1:18" x14ac:dyDescent="0.25">
      <c r="A64" t="s">
        <v>105</v>
      </c>
      <c r="B64" s="1">
        <v>2645.229167</v>
      </c>
      <c r="C64" s="1">
        <v>790.8021847</v>
      </c>
      <c r="D64" s="1">
        <v>0.81632653099999997</v>
      </c>
      <c r="E64" s="1">
        <v>0.39123039799999998</v>
      </c>
      <c r="F64" s="1">
        <v>618</v>
      </c>
      <c r="G64" s="1">
        <v>2656.0425530000002</v>
      </c>
      <c r="H64" s="1">
        <v>793.08294860000001</v>
      </c>
      <c r="I64" s="1">
        <v>0.85416666699999999</v>
      </c>
      <c r="J64" s="1">
        <v>0.35667395800000001</v>
      </c>
      <c r="K64" s="1">
        <f>(B64+Table810[[#This Row],[grt]])/2</f>
        <v>2650.6358600000003</v>
      </c>
      <c r="L64" s="1">
        <f>(Table810[[#This Row],[prtsd]]+Table810[[#This Row],[grtsd]])/2</f>
        <v>791.94256665</v>
      </c>
      <c r="M64" s="1">
        <f>(Table810[[#This Row],[pacc]]+Table810[[#This Row],[gacc]])/2</f>
        <v>0.83524659899999998</v>
      </c>
      <c r="N64" s="1">
        <f>(Table810[[#This Row],[paccsd]]+Table810[[#This Row],[gaccsd]])/2</f>
        <v>0.37395217800000002</v>
      </c>
      <c r="O64">
        <f>Table810[[#This Row],[mrt]]-(Table810[[#This Row],[macc]]*1000)</f>
        <v>1815.3892610000003</v>
      </c>
      <c r="P64" s="9">
        <f>(Table810[[#This Row],[prt]]-Table810[[#This Row],[grt]])</f>
        <v>-10.813386000000264</v>
      </c>
      <c r="Q64" s="8">
        <f>Table810[[#This Row],[pacc]]-Table810[[#This Row],[gacc]]</f>
        <v>-3.7840136000000024E-2</v>
      </c>
      <c r="R64" s="8">
        <f>Table810[[#This Row],[rt_pairing_score]]-Table810[[#This Row],[acc_pairing_score]]</f>
        <v>-10.775545864000264</v>
      </c>
    </row>
    <row r="65" spans="1:18" x14ac:dyDescent="0.25">
      <c r="A65" t="s">
        <v>80</v>
      </c>
      <c r="B65" s="1">
        <v>2585.4893619999998</v>
      </c>
      <c r="C65" s="1">
        <v>835.54738299999997</v>
      </c>
      <c r="D65" s="1">
        <v>0.77551020400000004</v>
      </c>
      <c r="E65" s="1">
        <v>0.42156979100000003</v>
      </c>
      <c r="F65" s="1">
        <v>800</v>
      </c>
      <c r="G65" s="1">
        <v>2586.3617020000002</v>
      </c>
      <c r="H65" s="1">
        <v>830.92586979999999</v>
      </c>
      <c r="I65" s="1">
        <v>0.76595744700000001</v>
      </c>
      <c r="J65" s="1">
        <v>0.42797632800000002</v>
      </c>
      <c r="K65" s="1">
        <f>(B65+Table810[[#This Row],[grt]])/2</f>
        <v>2585.9255320000002</v>
      </c>
      <c r="L65" s="1">
        <f>(Table810[[#This Row],[prtsd]]+Table810[[#This Row],[grtsd]])/2</f>
        <v>833.23662639999998</v>
      </c>
      <c r="M65" s="1">
        <f>(Table810[[#This Row],[pacc]]+Table810[[#This Row],[gacc]])/2</f>
        <v>0.77073382550000002</v>
      </c>
      <c r="N65" s="1">
        <f>(Table810[[#This Row],[paccsd]]+Table810[[#This Row],[gaccsd]])/2</f>
        <v>0.42477305949999999</v>
      </c>
      <c r="O65">
        <f>Table810[[#This Row],[mrt]]-(Table810[[#This Row],[macc]]*1000)</f>
        <v>1815.1917065000002</v>
      </c>
      <c r="P65" s="9">
        <f>(Table810[[#This Row],[prt]]-Table810[[#This Row],[grt]])</f>
        <v>-0.87234000000034939</v>
      </c>
      <c r="Q65" s="8">
        <f>Table810[[#This Row],[pacc]]-Table810[[#This Row],[gacc]]</f>
        <v>9.5527570000000228E-3</v>
      </c>
      <c r="R65" s="8">
        <f>Table810[[#This Row],[rt_pairing_score]]-Table810[[#This Row],[acc_pairing_score]]</f>
        <v>-0.88189275700034941</v>
      </c>
    </row>
    <row r="66" spans="1:18" x14ac:dyDescent="0.25">
      <c r="A66" t="s">
        <v>76</v>
      </c>
      <c r="B66" s="1">
        <v>2541.693878</v>
      </c>
      <c r="C66" s="1">
        <v>806.13148239999998</v>
      </c>
      <c r="D66" s="1">
        <v>0.76</v>
      </c>
      <c r="E66" s="1">
        <v>0.43141911100000002</v>
      </c>
      <c r="F66" s="1">
        <v>301</v>
      </c>
      <c r="G66" s="1">
        <v>2548.2888889999999</v>
      </c>
      <c r="H66" s="1">
        <v>802.02781700000003</v>
      </c>
      <c r="I66" s="1">
        <v>0.75</v>
      </c>
      <c r="J66" s="1">
        <v>0.43759497400000003</v>
      </c>
      <c r="K66" s="1">
        <f>(B66+Table810[[#This Row],[grt]])/2</f>
        <v>2544.9913834999998</v>
      </c>
      <c r="L66" s="1">
        <f>(Table810[[#This Row],[prtsd]]+Table810[[#This Row],[grtsd]])/2</f>
        <v>804.0796497</v>
      </c>
      <c r="M66" s="1">
        <f>(Table810[[#This Row],[pacc]]+Table810[[#This Row],[gacc]])/2</f>
        <v>0.755</v>
      </c>
      <c r="N66" s="1">
        <f>(Table810[[#This Row],[paccsd]]+Table810[[#This Row],[gaccsd]])/2</f>
        <v>0.43450704250000005</v>
      </c>
      <c r="O66">
        <f>Table810[[#This Row],[mrt]]-(Table810[[#This Row],[macc]]*1000)</f>
        <v>1789.9913834999998</v>
      </c>
      <c r="P66" s="9">
        <f>(Table810[[#This Row],[prt]]-Table810[[#This Row],[grt]])</f>
        <v>-6.5950109999998858</v>
      </c>
      <c r="Q66" s="8">
        <f>Table810[[#This Row],[pacc]]-Table810[[#This Row],[gacc]]</f>
        <v>1.0000000000000009E-2</v>
      </c>
      <c r="R66" s="8">
        <f>Table810[[#This Row],[rt_pairing_score]]-Table810[[#This Row],[acc_pairing_score]]</f>
        <v>-6.6050109999998856</v>
      </c>
    </row>
    <row r="67" spans="1:18" x14ac:dyDescent="0.25">
      <c r="A67" t="s">
        <v>63</v>
      </c>
      <c r="B67" s="1">
        <v>2596.5106380000002</v>
      </c>
      <c r="C67" s="1">
        <v>881.41351080000004</v>
      </c>
      <c r="D67" s="1">
        <v>0.73469387799999997</v>
      </c>
      <c r="E67" s="1">
        <v>0.44607128600000001</v>
      </c>
      <c r="F67" s="1">
        <v>829</v>
      </c>
      <c r="G67" s="1">
        <v>2588.9361699999999</v>
      </c>
      <c r="H67" s="1">
        <v>881.11239980000005</v>
      </c>
      <c r="I67" s="1">
        <v>0.87234042599999995</v>
      </c>
      <c r="J67" s="1">
        <v>0.33731814900000001</v>
      </c>
      <c r="K67" s="1">
        <f>(B67+Table810[[#This Row],[grt]])/2</f>
        <v>2592.7234040000003</v>
      </c>
      <c r="L67" s="1">
        <f>(Table810[[#This Row],[prtsd]]+Table810[[#This Row],[grtsd]])/2</f>
        <v>881.26295530000004</v>
      </c>
      <c r="M67" s="1">
        <f>(Table810[[#This Row],[pacc]]+Table810[[#This Row],[gacc]])/2</f>
        <v>0.80351715199999996</v>
      </c>
      <c r="N67" s="1">
        <f>(Table810[[#This Row],[paccsd]]+Table810[[#This Row],[gaccsd]])/2</f>
        <v>0.39169471750000001</v>
      </c>
      <c r="O67">
        <f>Table810[[#This Row],[mrt]]-(Table810[[#This Row],[macc]]*1000)</f>
        <v>1789.2062520000004</v>
      </c>
      <c r="P67" s="9">
        <f>(Table810[[#This Row],[prt]]-Table810[[#This Row],[grt]])</f>
        <v>7.5744680000002518</v>
      </c>
      <c r="Q67" s="8">
        <f>Table810[[#This Row],[pacc]]-Table810[[#This Row],[gacc]]</f>
        <v>-0.13764654799999998</v>
      </c>
      <c r="R67" s="8">
        <f>Table810[[#This Row],[rt_pairing_score]]-Table810[[#This Row],[acc_pairing_score]]</f>
        <v>7.712114548000252</v>
      </c>
    </row>
    <row r="68" spans="1:18" x14ac:dyDescent="0.25">
      <c r="A68" t="s">
        <v>79</v>
      </c>
      <c r="B68" s="1">
        <v>2543.531915</v>
      </c>
      <c r="C68" s="1">
        <v>770.45976819999998</v>
      </c>
      <c r="D68" s="1">
        <v>0.77551020400000004</v>
      </c>
      <c r="E68" s="1">
        <v>0.42156979100000003</v>
      </c>
      <c r="F68" s="1">
        <v>863</v>
      </c>
      <c r="G68" s="1">
        <v>2534.9777779999999</v>
      </c>
      <c r="H68" s="1">
        <v>772.08517810000001</v>
      </c>
      <c r="I68" s="1">
        <v>0.72916666699999999</v>
      </c>
      <c r="J68" s="1">
        <v>0.44909285999999998</v>
      </c>
      <c r="K68" s="1">
        <f>(B68+Table810[[#This Row],[grt]])/2</f>
        <v>2539.2548465</v>
      </c>
      <c r="L68" s="1">
        <f>(Table810[[#This Row],[prtsd]]+Table810[[#This Row],[grtsd]])/2</f>
        <v>771.27247315</v>
      </c>
      <c r="M68" s="1">
        <f>(Table810[[#This Row],[pacc]]+Table810[[#This Row],[gacc]])/2</f>
        <v>0.75233843550000001</v>
      </c>
      <c r="N68" s="1">
        <f>(Table810[[#This Row],[paccsd]]+Table810[[#This Row],[gaccsd]])/2</f>
        <v>0.43533132549999998</v>
      </c>
      <c r="O68">
        <f>Table810[[#This Row],[mrt]]-(Table810[[#This Row],[macc]]*1000)</f>
        <v>1786.9164109999999</v>
      </c>
      <c r="P68" s="9">
        <f>(Table810[[#This Row],[prt]]-Table810[[#This Row],[grt]])</f>
        <v>8.5541370000000825</v>
      </c>
      <c r="Q68" s="8">
        <f>Table810[[#This Row],[pacc]]-Table810[[#This Row],[gacc]]</f>
        <v>4.6343537000000046E-2</v>
      </c>
      <c r="R68" s="8">
        <f>Table810[[#This Row],[rt_pairing_score]]-Table810[[#This Row],[acc_pairing_score]]</f>
        <v>8.5077934630000822</v>
      </c>
    </row>
    <row r="69" spans="1:18" x14ac:dyDescent="0.25">
      <c r="A69" t="s">
        <v>45</v>
      </c>
      <c r="B69" s="1">
        <v>2606</v>
      </c>
      <c r="C69" s="1">
        <v>705.96987660000002</v>
      </c>
      <c r="D69" s="1">
        <v>0.6875</v>
      </c>
      <c r="E69" s="1">
        <v>0.46841743499999999</v>
      </c>
      <c r="F69" s="1">
        <v>452</v>
      </c>
      <c r="G69" s="1">
        <v>2589</v>
      </c>
      <c r="H69" s="1">
        <v>704.51138949999995</v>
      </c>
      <c r="I69" s="1">
        <v>0.9375</v>
      </c>
      <c r="J69" s="1">
        <v>0.24462302699999999</v>
      </c>
      <c r="K69" s="1">
        <f>(B69+Table810[[#This Row],[grt]])/2</f>
        <v>2597.5</v>
      </c>
      <c r="L69" s="1">
        <f>(Table810[[#This Row],[prtsd]]+Table810[[#This Row],[grtsd]])/2</f>
        <v>705.24063305000004</v>
      </c>
      <c r="M69" s="1">
        <f>(Table810[[#This Row],[pacc]]+Table810[[#This Row],[gacc]])/2</f>
        <v>0.8125</v>
      </c>
      <c r="N69" s="1">
        <f>(Table810[[#This Row],[paccsd]]+Table810[[#This Row],[gaccsd]])/2</f>
        <v>0.35652023099999997</v>
      </c>
      <c r="O69">
        <f>Table810[[#This Row],[mrt]]-(Table810[[#This Row],[macc]]*1000)</f>
        <v>1785</v>
      </c>
      <c r="P69" s="9">
        <f>(Table810[[#This Row],[prt]]-Table810[[#This Row],[grt]])</f>
        <v>17</v>
      </c>
      <c r="Q69" s="8">
        <f>Table810[[#This Row],[pacc]]-Table810[[#This Row],[gacc]]</f>
        <v>-0.25</v>
      </c>
      <c r="R69" s="8">
        <f>Table810[[#This Row],[rt_pairing_score]]-Table810[[#This Row],[acc_pairing_score]]</f>
        <v>17.25</v>
      </c>
    </row>
    <row r="70" spans="1:18" x14ac:dyDescent="0.25">
      <c r="A70" t="s">
        <v>43</v>
      </c>
      <c r="B70" s="1">
        <v>2576.6086959999998</v>
      </c>
      <c r="C70" s="1">
        <v>729.59021919999998</v>
      </c>
      <c r="D70" s="1">
        <v>0.68085106399999995</v>
      </c>
      <c r="E70" s="1">
        <v>0.47118642900000002</v>
      </c>
      <c r="F70" s="1">
        <v>499</v>
      </c>
      <c r="G70" s="1">
        <v>2577.125</v>
      </c>
      <c r="H70" s="1">
        <v>726.5417539</v>
      </c>
      <c r="I70" s="1">
        <v>0.91666666699999999</v>
      </c>
      <c r="J70" s="1">
        <v>0.27931019400000001</v>
      </c>
      <c r="K70" s="1">
        <f>(B70+Table810[[#This Row],[grt]])/2</f>
        <v>2576.8668479999997</v>
      </c>
      <c r="L70" s="1">
        <f>(Table810[[#This Row],[prtsd]]+Table810[[#This Row],[grtsd]])/2</f>
        <v>728.06598654999993</v>
      </c>
      <c r="M70" s="1">
        <f>(Table810[[#This Row],[pacc]]+Table810[[#This Row],[gacc]])/2</f>
        <v>0.79875886549999997</v>
      </c>
      <c r="N70" s="1">
        <f>(Table810[[#This Row],[paccsd]]+Table810[[#This Row],[gaccsd]])/2</f>
        <v>0.37524831150000004</v>
      </c>
      <c r="O70">
        <f>Table810[[#This Row],[mrt]]-(Table810[[#This Row],[macc]]*1000)</f>
        <v>1778.1079824999997</v>
      </c>
      <c r="P70" s="9">
        <f>(Table810[[#This Row],[prt]]-Table810[[#This Row],[grt]])</f>
        <v>-0.51630400000021837</v>
      </c>
      <c r="Q70" s="8">
        <f>Table810[[#This Row],[pacc]]-Table810[[#This Row],[gacc]]</f>
        <v>-0.23581560300000004</v>
      </c>
      <c r="R70" s="8">
        <f>Table810[[#This Row],[rt_pairing_score]]-Table810[[#This Row],[acc_pairing_score]]</f>
        <v>-0.28048839700021833</v>
      </c>
    </row>
    <row r="71" spans="1:18" x14ac:dyDescent="0.25">
      <c r="A71" t="s">
        <v>81</v>
      </c>
      <c r="B71" s="1">
        <v>2563.2765960000002</v>
      </c>
      <c r="C71" s="1">
        <v>771.65698910000003</v>
      </c>
      <c r="D71" s="1">
        <v>0.77551020400000004</v>
      </c>
      <c r="E71" s="1">
        <v>0.42156979100000003</v>
      </c>
      <c r="F71" s="1">
        <v>581</v>
      </c>
      <c r="G71" s="1">
        <v>2579.4651159999999</v>
      </c>
      <c r="H71" s="1">
        <v>772.52438240000004</v>
      </c>
      <c r="I71" s="1">
        <v>0.8125</v>
      </c>
      <c r="J71" s="1">
        <v>0.39444277999999999</v>
      </c>
      <c r="K71" s="1">
        <f>(B71+Table810[[#This Row],[grt]])/2</f>
        <v>2571.370856</v>
      </c>
      <c r="L71" s="1">
        <f>(Table810[[#This Row],[prtsd]]+Table810[[#This Row],[grtsd]])/2</f>
        <v>772.09068575000003</v>
      </c>
      <c r="M71" s="1">
        <f>(Table810[[#This Row],[pacc]]+Table810[[#This Row],[gacc]])/2</f>
        <v>0.79400510200000007</v>
      </c>
      <c r="N71" s="1">
        <f>(Table810[[#This Row],[paccsd]]+Table810[[#This Row],[gaccsd]])/2</f>
        <v>0.40800628550000001</v>
      </c>
      <c r="O71">
        <f>Table810[[#This Row],[mrt]]-(Table810[[#This Row],[macc]]*1000)</f>
        <v>1777.3657539999999</v>
      </c>
      <c r="P71" s="9">
        <f>(Table810[[#This Row],[prt]]-Table810[[#This Row],[grt]])</f>
        <v>-16.188519999999698</v>
      </c>
      <c r="Q71" s="8">
        <f>Table810[[#This Row],[pacc]]-Table810[[#This Row],[gacc]]</f>
        <v>-3.6989795999999964E-2</v>
      </c>
      <c r="R71" s="8">
        <f>Table810[[#This Row],[rt_pairing_score]]-Table810[[#This Row],[acc_pairing_score]]</f>
        <v>-16.151530203999698</v>
      </c>
    </row>
    <row r="72" spans="1:18" x14ac:dyDescent="0.25">
      <c r="A72" t="s">
        <v>156</v>
      </c>
      <c r="B72" s="1">
        <v>2518.8723399999999</v>
      </c>
      <c r="C72" s="1">
        <v>743.25402689999999</v>
      </c>
      <c r="D72" s="1">
        <v>0.88</v>
      </c>
      <c r="E72" s="1">
        <v>0.32826072299999998</v>
      </c>
      <c r="F72" s="1">
        <v>630</v>
      </c>
      <c r="G72" s="1">
        <v>2499.1777780000002</v>
      </c>
      <c r="H72" s="1">
        <v>741.70161510000003</v>
      </c>
      <c r="I72" s="1">
        <v>0.625</v>
      </c>
      <c r="J72" s="1">
        <v>0.48924605500000001</v>
      </c>
      <c r="K72" s="1">
        <f>(B72+Table810[[#This Row],[grt]])/2</f>
        <v>2509.0250590000001</v>
      </c>
      <c r="L72" s="1">
        <f>(Table810[[#This Row],[prtsd]]+Table810[[#This Row],[grtsd]])/2</f>
        <v>742.47782099999995</v>
      </c>
      <c r="M72" s="1">
        <f>(Table810[[#This Row],[pacc]]+Table810[[#This Row],[gacc]])/2</f>
        <v>0.75249999999999995</v>
      </c>
      <c r="N72" s="1">
        <f>(Table810[[#This Row],[paccsd]]+Table810[[#This Row],[gaccsd]])/2</f>
        <v>0.40875338900000002</v>
      </c>
      <c r="O72">
        <f>Table810[[#This Row],[mrt]]-(Table810[[#This Row],[macc]]*1000)</f>
        <v>1756.5250590000001</v>
      </c>
      <c r="P72" s="9">
        <f>(Table810[[#This Row],[prt]]-Table810[[#This Row],[grt]])</f>
        <v>19.694561999999678</v>
      </c>
      <c r="Q72" s="8">
        <f>Table810[[#This Row],[pacc]]-Table810[[#This Row],[gacc]]</f>
        <v>0.255</v>
      </c>
      <c r="R72" s="8">
        <f>Table810[[#This Row],[rt_pairing_score]]-Table810[[#This Row],[acc_pairing_score]]</f>
        <v>19.439561999999679</v>
      </c>
    </row>
    <row r="73" spans="1:18" x14ac:dyDescent="0.25">
      <c r="A73" t="s">
        <v>30</v>
      </c>
      <c r="B73" s="1">
        <v>2522.617021</v>
      </c>
      <c r="C73" s="1">
        <v>712.44635349999999</v>
      </c>
      <c r="D73" s="1">
        <v>0.625</v>
      </c>
      <c r="E73" s="1">
        <v>0.48924605500000001</v>
      </c>
      <c r="F73" s="1">
        <v>664</v>
      </c>
      <c r="G73" s="1">
        <v>2510.914894</v>
      </c>
      <c r="H73" s="1">
        <v>716.32103050000001</v>
      </c>
      <c r="I73" s="1">
        <v>0.89583333300000001</v>
      </c>
      <c r="J73" s="1">
        <v>0.30870927799999998</v>
      </c>
      <c r="K73" s="1">
        <f>(B73+Table810[[#This Row],[grt]])/2</f>
        <v>2516.7659574999998</v>
      </c>
      <c r="L73" s="1">
        <f>(Table810[[#This Row],[prtsd]]+Table810[[#This Row],[grtsd]])/2</f>
        <v>714.383692</v>
      </c>
      <c r="M73" s="1">
        <f>(Table810[[#This Row],[pacc]]+Table810[[#This Row],[gacc]])/2</f>
        <v>0.76041666650000006</v>
      </c>
      <c r="N73" s="1">
        <f>(Table810[[#This Row],[paccsd]]+Table810[[#This Row],[gaccsd]])/2</f>
        <v>0.39897766649999999</v>
      </c>
      <c r="O73">
        <f>Table810[[#This Row],[mrt]]-(Table810[[#This Row],[macc]]*1000)</f>
        <v>1756.3492909999998</v>
      </c>
      <c r="P73" s="9">
        <f>(Table810[[#This Row],[prt]]-Table810[[#This Row],[grt]])</f>
        <v>11.702127000000019</v>
      </c>
      <c r="Q73" s="8">
        <f>Table810[[#This Row],[pacc]]-Table810[[#This Row],[gacc]]</f>
        <v>-0.27083333300000001</v>
      </c>
      <c r="R73" s="8">
        <f>Table810[[#This Row],[rt_pairing_score]]-Table810[[#This Row],[acc_pairing_score]]</f>
        <v>11.972960333000019</v>
      </c>
    </row>
    <row r="74" spans="1:18" x14ac:dyDescent="0.25">
      <c r="A74" t="s">
        <v>129</v>
      </c>
      <c r="B74" s="1">
        <v>2470.4666670000001</v>
      </c>
      <c r="C74" s="1">
        <v>853.50918939999997</v>
      </c>
      <c r="D74" s="1">
        <v>0.85106382999999997</v>
      </c>
      <c r="E74" s="1">
        <v>0.35987458</v>
      </c>
      <c r="F74" s="1">
        <v>665</v>
      </c>
      <c r="G74" s="1">
        <v>2467.7659570000001</v>
      </c>
      <c r="H74" s="1">
        <v>848.90154629999995</v>
      </c>
      <c r="I74" s="1">
        <v>0.58333333300000001</v>
      </c>
      <c r="J74" s="1">
        <v>0.49822379500000002</v>
      </c>
      <c r="K74" s="1">
        <f>(B74+Table810[[#This Row],[grt]])/2</f>
        <v>2469.1163120000001</v>
      </c>
      <c r="L74" s="1">
        <f>(Table810[[#This Row],[prtsd]]+Table810[[#This Row],[grtsd]])/2</f>
        <v>851.2053678499999</v>
      </c>
      <c r="M74" s="1">
        <f>(Table810[[#This Row],[pacc]]+Table810[[#This Row],[gacc]])/2</f>
        <v>0.71719858149999993</v>
      </c>
      <c r="N74" s="1">
        <f>(Table810[[#This Row],[paccsd]]+Table810[[#This Row],[gaccsd]])/2</f>
        <v>0.42904918749999998</v>
      </c>
      <c r="O74">
        <f>Table810[[#This Row],[mrt]]-(Table810[[#This Row],[macc]]*1000)</f>
        <v>1751.9177305000003</v>
      </c>
      <c r="P74" s="9">
        <f>(Table810[[#This Row],[prt]]-Table810[[#This Row],[grt]])</f>
        <v>2.7007100000000719</v>
      </c>
      <c r="Q74" s="8">
        <f>Table810[[#This Row],[pacc]]-Table810[[#This Row],[gacc]]</f>
        <v>0.26773049699999996</v>
      </c>
      <c r="R74" s="8">
        <f>Table810[[#This Row],[rt_pairing_score]]-Table810[[#This Row],[acc_pairing_score]]</f>
        <v>2.4329795030000718</v>
      </c>
    </row>
    <row r="75" spans="1:18" x14ac:dyDescent="0.25">
      <c r="A75" t="s">
        <v>72</v>
      </c>
      <c r="B75" s="1">
        <v>2421.270833</v>
      </c>
      <c r="C75" s="1">
        <v>726.72590579999996</v>
      </c>
      <c r="D75" s="1">
        <v>0.755102041</v>
      </c>
      <c r="E75" s="1">
        <v>0.43448303799999999</v>
      </c>
      <c r="F75" s="1">
        <v>704</v>
      </c>
      <c r="G75" s="1">
        <v>2439.5</v>
      </c>
      <c r="H75" s="1">
        <v>727.56298700000002</v>
      </c>
      <c r="I75" s="1">
        <v>0.63829787199999999</v>
      </c>
      <c r="J75" s="1">
        <v>0.48568785399999997</v>
      </c>
      <c r="K75" s="1">
        <f>(B75+Table810[[#This Row],[grt]])/2</f>
        <v>2430.3854165000002</v>
      </c>
      <c r="L75" s="1">
        <f>(Table810[[#This Row],[prtsd]]+Table810[[#This Row],[grtsd]])/2</f>
        <v>727.14444639999999</v>
      </c>
      <c r="M75" s="1">
        <f>(Table810[[#This Row],[pacc]]+Table810[[#This Row],[gacc]])/2</f>
        <v>0.69669995650000005</v>
      </c>
      <c r="N75" s="1">
        <f>(Table810[[#This Row],[paccsd]]+Table810[[#This Row],[gaccsd]])/2</f>
        <v>0.46008544600000001</v>
      </c>
      <c r="O75">
        <f>Table810[[#This Row],[mrt]]-(Table810[[#This Row],[macc]]*1000)</f>
        <v>1733.6854600000001</v>
      </c>
      <c r="P75" s="9">
        <f>(Table810[[#This Row],[prt]]-Table810[[#This Row],[grt]])</f>
        <v>-18.229166999999961</v>
      </c>
      <c r="Q75" s="8">
        <f>Table810[[#This Row],[pacc]]-Table810[[#This Row],[gacc]]</f>
        <v>0.11680416900000001</v>
      </c>
      <c r="R75" s="8">
        <f>Table810[[#This Row],[rt_pairing_score]]-Table810[[#This Row],[acc_pairing_score]]</f>
        <v>-18.345971168999963</v>
      </c>
    </row>
    <row r="76" spans="1:18" x14ac:dyDescent="0.25">
      <c r="A76" t="s">
        <v>121</v>
      </c>
      <c r="B76" s="1">
        <v>2560.020833</v>
      </c>
      <c r="C76" s="1">
        <v>782.41433459999996</v>
      </c>
      <c r="D76" s="1">
        <v>0.83333333300000001</v>
      </c>
      <c r="E76" s="1">
        <v>0.37662178899999998</v>
      </c>
      <c r="F76" s="1">
        <v>611</v>
      </c>
      <c r="G76" s="1">
        <v>2544.9782610000002</v>
      </c>
      <c r="H76" s="1">
        <v>785.99701689999995</v>
      </c>
      <c r="I76" s="1">
        <v>0.85106382999999997</v>
      </c>
      <c r="J76" s="1">
        <v>0.35987458</v>
      </c>
      <c r="K76" s="1">
        <f>(B76+Table810[[#This Row],[grt]])/2</f>
        <v>2552.4995470000003</v>
      </c>
      <c r="L76" s="1">
        <f>(Table810[[#This Row],[prtsd]]+Table810[[#This Row],[grtsd]])/2</f>
        <v>784.20567574999995</v>
      </c>
      <c r="M76" s="1">
        <f>(Table810[[#This Row],[pacc]]+Table810[[#This Row],[gacc]])/2</f>
        <v>0.84219858149999993</v>
      </c>
      <c r="N76" s="1">
        <f>(Table810[[#This Row],[paccsd]]+Table810[[#This Row],[gaccsd]])/2</f>
        <v>0.36824818449999996</v>
      </c>
      <c r="O76">
        <f>Table810[[#This Row],[mrt]]-(Table810[[#This Row],[macc]]*1000)</f>
        <v>1710.3009655000005</v>
      </c>
      <c r="P76" s="9">
        <f>(Table810[[#This Row],[prt]]-Table810[[#This Row],[grt]])</f>
        <v>15.042571999999836</v>
      </c>
      <c r="Q76" s="8">
        <f>Table810[[#This Row],[pacc]]-Table810[[#This Row],[gacc]]</f>
        <v>-1.7730496999999956E-2</v>
      </c>
      <c r="R76" s="8">
        <f>Table810[[#This Row],[rt_pairing_score]]-Table810[[#This Row],[acc_pairing_score]]</f>
        <v>15.060302496999837</v>
      </c>
    </row>
    <row r="77" spans="1:18" x14ac:dyDescent="0.25">
      <c r="A77" t="s">
        <v>154</v>
      </c>
      <c r="B77" s="1">
        <v>2503.061224</v>
      </c>
      <c r="C77" s="1">
        <v>879.10163439999997</v>
      </c>
      <c r="D77" s="1">
        <v>0.87755101999999996</v>
      </c>
      <c r="E77" s="1">
        <v>0.33120066100000001</v>
      </c>
      <c r="F77" s="1">
        <v>893</v>
      </c>
      <c r="G77" s="1">
        <v>2454.913043</v>
      </c>
      <c r="H77" s="1">
        <v>884.70612389999997</v>
      </c>
      <c r="I77" s="1">
        <v>0.66666666699999999</v>
      </c>
      <c r="J77" s="1">
        <v>0.476393067</v>
      </c>
      <c r="K77" s="1">
        <f>(B77+Table810[[#This Row],[grt]])/2</f>
        <v>2478.9871334999998</v>
      </c>
      <c r="L77" s="1">
        <f>(Table810[[#This Row],[prtsd]]+Table810[[#This Row],[grtsd]])/2</f>
        <v>881.90387914999997</v>
      </c>
      <c r="M77" s="1">
        <f>(Table810[[#This Row],[pacc]]+Table810[[#This Row],[gacc]])/2</f>
        <v>0.77210884349999998</v>
      </c>
      <c r="N77" s="1">
        <f>(Table810[[#This Row],[paccsd]]+Table810[[#This Row],[gaccsd]])/2</f>
        <v>0.40379686400000003</v>
      </c>
      <c r="O77">
        <f>Table810[[#This Row],[mrt]]-(Table810[[#This Row],[macc]]*1000)</f>
        <v>1706.8782899999999</v>
      </c>
      <c r="P77" s="9">
        <f>(Table810[[#This Row],[prt]]-Table810[[#This Row],[grt]])</f>
        <v>48.148181000000022</v>
      </c>
      <c r="Q77" s="8">
        <f>Table810[[#This Row],[pacc]]-Table810[[#This Row],[gacc]]</f>
        <v>0.21088435299999997</v>
      </c>
      <c r="R77" s="8">
        <f>Table810[[#This Row],[rt_pairing_score]]-Table810[[#This Row],[acc_pairing_score]]</f>
        <v>47.937296647000025</v>
      </c>
    </row>
    <row r="78" spans="1:18" x14ac:dyDescent="0.25">
      <c r="A78" t="s">
        <v>55</v>
      </c>
      <c r="B78" s="1">
        <v>2468.5918369999999</v>
      </c>
      <c r="C78" s="1">
        <v>777.91256250000004</v>
      </c>
      <c r="D78" s="1">
        <v>0.72</v>
      </c>
      <c r="E78" s="1">
        <v>0.45355736800000002</v>
      </c>
      <c r="F78" s="1">
        <v>159</v>
      </c>
      <c r="G78" s="1">
        <v>2463.413043</v>
      </c>
      <c r="H78" s="1">
        <v>769.4609246</v>
      </c>
      <c r="I78" s="1">
        <v>0.8125</v>
      </c>
      <c r="J78" s="1">
        <v>0.39444277999999999</v>
      </c>
      <c r="K78" s="1">
        <f>(B78+Table810[[#This Row],[grt]])/2</f>
        <v>2466.0024400000002</v>
      </c>
      <c r="L78" s="1">
        <f>(Table810[[#This Row],[prtsd]]+Table810[[#This Row],[grtsd]])/2</f>
        <v>773.68674355000007</v>
      </c>
      <c r="M78" s="1">
        <f>(Table810[[#This Row],[pacc]]+Table810[[#This Row],[gacc]])/2</f>
        <v>0.76624999999999999</v>
      </c>
      <c r="N78" s="1">
        <f>(Table810[[#This Row],[paccsd]]+Table810[[#This Row],[gaccsd]])/2</f>
        <v>0.424000074</v>
      </c>
      <c r="O78">
        <f>Table810[[#This Row],[mrt]]-(Table810[[#This Row],[macc]]*1000)</f>
        <v>1699.7524400000002</v>
      </c>
      <c r="P78" s="9">
        <f>(Table810[[#This Row],[prt]]-Table810[[#This Row],[grt]])</f>
        <v>5.1787939999999253</v>
      </c>
      <c r="Q78" s="8">
        <f>Table810[[#This Row],[pacc]]-Table810[[#This Row],[gacc]]</f>
        <v>-9.2500000000000027E-2</v>
      </c>
      <c r="R78" s="8">
        <f>Table810[[#This Row],[rt_pairing_score]]-Table810[[#This Row],[acc_pairing_score]]</f>
        <v>5.2712939999999255</v>
      </c>
    </row>
    <row r="79" spans="1:18" x14ac:dyDescent="0.25">
      <c r="A79" t="s">
        <v>65</v>
      </c>
      <c r="B79" s="1">
        <v>2516.4888890000002</v>
      </c>
      <c r="C79" s="1">
        <v>693.55007760000001</v>
      </c>
      <c r="D79" s="1">
        <v>0.73469387799999997</v>
      </c>
      <c r="E79" s="1">
        <v>0.44607128600000001</v>
      </c>
      <c r="F79" s="1">
        <v>500</v>
      </c>
      <c r="G79" s="1">
        <v>2505.531915</v>
      </c>
      <c r="H79" s="1">
        <v>689.35650050000004</v>
      </c>
      <c r="I79" s="1">
        <v>0.89583333300000001</v>
      </c>
      <c r="J79" s="1">
        <v>0.30870927799999998</v>
      </c>
      <c r="K79" s="1">
        <f>(B79+Table810[[#This Row],[grt]])/2</f>
        <v>2511.0104019999999</v>
      </c>
      <c r="L79" s="1">
        <f>(Table810[[#This Row],[prtsd]]+Table810[[#This Row],[grtsd]])/2</f>
        <v>691.45328904999997</v>
      </c>
      <c r="M79" s="1">
        <f>(Table810[[#This Row],[pacc]]+Table810[[#This Row],[gacc]])/2</f>
        <v>0.81526360549999999</v>
      </c>
      <c r="N79" s="1">
        <f>(Table810[[#This Row],[paccsd]]+Table810[[#This Row],[gaccsd]])/2</f>
        <v>0.37739028200000002</v>
      </c>
      <c r="O79">
        <f>Table810[[#This Row],[mrt]]-(Table810[[#This Row],[macc]]*1000)</f>
        <v>1695.7467964999998</v>
      </c>
      <c r="P79" s="9">
        <f>(Table810[[#This Row],[prt]]-Table810[[#This Row],[grt]])</f>
        <v>10.956974000000173</v>
      </c>
      <c r="Q79" s="8">
        <f>Table810[[#This Row],[pacc]]-Table810[[#This Row],[gacc]]</f>
        <v>-0.16113945500000004</v>
      </c>
      <c r="R79" s="8">
        <f>Table810[[#This Row],[rt_pairing_score]]-Table810[[#This Row],[acc_pairing_score]]</f>
        <v>11.118113455000174</v>
      </c>
    </row>
    <row r="80" spans="1:18" x14ac:dyDescent="0.25">
      <c r="A80" t="s">
        <v>44</v>
      </c>
      <c r="B80" s="1">
        <v>2455.8297870000001</v>
      </c>
      <c r="C80" s="1">
        <v>675.20033479999995</v>
      </c>
      <c r="D80" s="1">
        <v>0.6875</v>
      </c>
      <c r="E80" s="1">
        <v>0.46841743499999999</v>
      </c>
      <c r="F80" s="1">
        <v>250</v>
      </c>
      <c r="G80" s="1">
        <v>2459.7826089999999</v>
      </c>
      <c r="H80" s="1">
        <v>681.45076979999999</v>
      </c>
      <c r="I80" s="1">
        <v>0.85416666699999999</v>
      </c>
      <c r="J80" s="1">
        <v>0.35667395800000001</v>
      </c>
      <c r="K80" s="1">
        <f>(B80+Table810[[#This Row],[grt]])/2</f>
        <v>2457.8061980000002</v>
      </c>
      <c r="L80" s="1">
        <f>(Table810[[#This Row],[prtsd]]+Table810[[#This Row],[grtsd]])/2</f>
        <v>678.32555230000003</v>
      </c>
      <c r="M80" s="1">
        <f>(Table810[[#This Row],[pacc]]+Table810[[#This Row],[gacc]])/2</f>
        <v>0.77083333349999994</v>
      </c>
      <c r="N80" s="1">
        <f>(Table810[[#This Row],[paccsd]]+Table810[[#This Row],[gaccsd]])/2</f>
        <v>0.4125456965</v>
      </c>
      <c r="O80">
        <f>Table810[[#This Row],[mrt]]-(Table810[[#This Row],[macc]]*1000)</f>
        <v>1686.9728645000002</v>
      </c>
      <c r="P80" s="9">
        <f>(Table810[[#This Row],[prt]]-Table810[[#This Row],[grt]])</f>
        <v>-3.9528219999997418</v>
      </c>
      <c r="Q80" s="8">
        <f>Table810[[#This Row],[pacc]]-Table810[[#This Row],[gacc]]</f>
        <v>-0.16666666699999999</v>
      </c>
      <c r="R80" s="8">
        <f>Table810[[#This Row],[rt_pairing_score]]-Table810[[#This Row],[acc_pairing_score]]</f>
        <v>-3.7861553329997419</v>
      </c>
    </row>
    <row r="81" spans="1:18" x14ac:dyDescent="0.25">
      <c r="A81" t="s">
        <v>104</v>
      </c>
      <c r="B81" s="1">
        <v>2472.681818</v>
      </c>
      <c r="C81" s="1">
        <v>694.35175630000003</v>
      </c>
      <c r="D81" s="1">
        <v>0.81632653099999997</v>
      </c>
      <c r="E81" s="1">
        <v>0.39123039799999998</v>
      </c>
      <c r="F81" s="1">
        <v>594</v>
      </c>
      <c r="G81" s="1">
        <v>2471.622222</v>
      </c>
      <c r="H81" s="1">
        <v>689.70554619999996</v>
      </c>
      <c r="I81" s="1">
        <v>0.76595744700000001</v>
      </c>
      <c r="J81" s="1">
        <v>0.42797632800000002</v>
      </c>
      <c r="K81" s="1">
        <f>(B81+Table810[[#This Row],[grt]])/2</f>
        <v>2472.15202</v>
      </c>
      <c r="L81" s="1">
        <f>(Table810[[#This Row],[prtsd]]+Table810[[#This Row],[grtsd]])/2</f>
        <v>692.02865124999994</v>
      </c>
      <c r="M81" s="1">
        <f>(Table810[[#This Row],[pacc]]+Table810[[#This Row],[gacc]])/2</f>
        <v>0.79114198899999999</v>
      </c>
      <c r="N81" s="1">
        <f>(Table810[[#This Row],[paccsd]]+Table810[[#This Row],[gaccsd]])/2</f>
        <v>0.409603363</v>
      </c>
      <c r="O81">
        <f>Table810[[#This Row],[mrt]]-(Table810[[#This Row],[macc]]*1000)</f>
        <v>1681.010031</v>
      </c>
      <c r="P81" s="9">
        <f>(Table810[[#This Row],[prt]]-Table810[[#This Row],[grt]])</f>
        <v>1.0595960000000559</v>
      </c>
      <c r="Q81" s="8">
        <f>Table810[[#This Row],[pacc]]-Table810[[#This Row],[gacc]]</f>
        <v>5.0369083999999953E-2</v>
      </c>
      <c r="R81" s="8">
        <f>Table810[[#This Row],[rt_pairing_score]]-Table810[[#This Row],[acc_pairing_score]]</f>
        <v>1.009226916000056</v>
      </c>
    </row>
    <row r="82" spans="1:18" x14ac:dyDescent="0.25">
      <c r="A82" t="s">
        <v>159</v>
      </c>
      <c r="B82" s="1">
        <v>2496.88</v>
      </c>
      <c r="C82" s="1">
        <v>777.06490259999998</v>
      </c>
      <c r="D82" s="1">
        <v>0.88</v>
      </c>
      <c r="E82" s="1">
        <v>0.32826072299999998</v>
      </c>
      <c r="F82" s="1">
        <v>300</v>
      </c>
      <c r="G82" s="1">
        <v>2490.0425530000002</v>
      </c>
      <c r="H82" s="1">
        <v>781.70132060000003</v>
      </c>
      <c r="I82" s="1">
        <v>0.75</v>
      </c>
      <c r="J82" s="1">
        <v>0.43759497400000003</v>
      </c>
      <c r="K82" s="1">
        <f>(B82+Table810[[#This Row],[grt]])/2</f>
        <v>2493.4612765000002</v>
      </c>
      <c r="L82" s="1">
        <f>(Table810[[#This Row],[prtsd]]+Table810[[#This Row],[grtsd]])/2</f>
        <v>779.38311160000001</v>
      </c>
      <c r="M82" s="1">
        <f>(Table810[[#This Row],[pacc]]+Table810[[#This Row],[gacc]])/2</f>
        <v>0.81499999999999995</v>
      </c>
      <c r="N82" s="1">
        <f>(Table810[[#This Row],[paccsd]]+Table810[[#This Row],[gaccsd]])/2</f>
        <v>0.3829278485</v>
      </c>
      <c r="O82">
        <f>Table810[[#This Row],[mrt]]-(Table810[[#This Row],[macc]]*1000)</f>
        <v>1678.4612765000002</v>
      </c>
      <c r="P82" s="9">
        <f>(Table810[[#This Row],[prt]]-Table810[[#This Row],[grt]])</f>
        <v>6.8374469999998837</v>
      </c>
      <c r="Q82" s="8">
        <f>Table810[[#This Row],[pacc]]-Table810[[#This Row],[gacc]]</f>
        <v>0.13</v>
      </c>
      <c r="R82" s="8">
        <f>Table810[[#This Row],[rt_pairing_score]]-Table810[[#This Row],[acc_pairing_score]]</f>
        <v>6.7074469999998838</v>
      </c>
    </row>
    <row r="83" spans="1:18" x14ac:dyDescent="0.25">
      <c r="A83" t="s">
        <v>142</v>
      </c>
      <c r="B83" s="1">
        <v>2511.270833</v>
      </c>
      <c r="C83" s="1">
        <v>683.00393259999998</v>
      </c>
      <c r="D83" s="1">
        <v>0.87755101999999996</v>
      </c>
      <c r="E83" s="1">
        <v>0.33120066100000001</v>
      </c>
      <c r="F83" s="1">
        <v>600</v>
      </c>
      <c r="G83" s="1">
        <v>2532.166667</v>
      </c>
      <c r="H83" s="1">
        <v>681.21513249999998</v>
      </c>
      <c r="I83" s="1">
        <v>0.8125</v>
      </c>
      <c r="J83" s="1">
        <v>0.39444277999999999</v>
      </c>
      <c r="K83" s="1">
        <f>(B83+Table810[[#This Row],[grt]])/2</f>
        <v>2521.71875</v>
      </c>
      <c r="L83" s="1">
        <f>(Table810[[#This Row],[prtsd]]+Table810[[#This Row],[grtsd]])/2</f>
        <v>682.10953255000004</v>
      </c>
      <c r="M83" s="1">
        <f>(Table810[[#This Row],[pacc]]+Table810[[#This Row],[gacc]])/2</f>
        <v>0.84502550999999992</v>
      </c>
      <c r="N83" s="1">
        <f>(Table810[[#This Row],[paccsd]]+Table810[[#This Row],[gaccsd]])/2</f>
        <v>0.3628217205</v>
      </c>
      <c r="O83">
        <f>Table810[[#This Row],[mrt]]-(Table810[[#This Row],[macc]]*1000)</f>
        <v>1676.6932400000001</v>
      </c>
      <c r="P83" s="9">
        <f>(Table810[[#This Row],[prt]]-Table810[[#This Row],[grt]])</f>
        <v>-20.895833999999923</v>
      </c>
      <c r="Q83" s="8">
        <f>Table810[[#This Row],[pacc]]-Table810[[#This Row],[gacc]]</f>
        <v>6.5051019999999959E-2</v>
      </c>
      <c r="R83" s="8">
        <f>Table810[[#This Row],[rt_pairing_score]]-Table810[[#This Row],[acc_pairing_score]]</f>
        <v>-20.960885019999921</v>
      </c>
    </row>
    <row r="84" spans="1:18" x14ac:dyDescent="0.25">
      <c r="A84" t="s">
        <v>246</v>
      </c>
      <c r="B84" s="1">
        <v>2499.9574469999998</v>
      </c>
      <c r="C84" s="1">
        <v>719.15572350000002</v>
      </c>
      <c r="D84" s="1">
        <v>0.93877551000000004</v>
      </c>
      <c r="E84" s="1">
        <v>0.24222607099999999</v>
      </c>
      <c r="F84" s="1">
        <v>699</v>
      </c>
      <c r="G84" s="1">
        <v>2512</v>
      </c>
      <c r="H84" s="1">
        <v>718.1963217</v>
      </c>
      <c r="I84" s="1">
        <v>0.72916666699999999</v>
      </c>
      <c r="J84" s="1">
        <v>0.44909285999999998</v>
      </c>
      <c r="K84" s="1">
        <f>(B84+Table810[[#This Row],[grt]])/2</f>
        <v>2505.9787234999999</v>
      </c>
      <c r="L84" s="1">
        <f>(Table810[[#This Row],[prtsd]]+Table810[[#This Row],[grtsd]])/2</f>
        <v>718.67602260000001</v>
      </c>
      <c r="M84" s="1">
        <f>(Table810[[#This Row],[pacc]]+Table810[[#This Row],[gacc]])/2</f>
        <v>0.83397108850000001</v>
      </c>
      <c r="N84" s="1">
        <f>(Table810[[#This Row],[paccsd]]+Table810[[#This Row],[gaccsd]])/2</f>
        <v>0.34565946549999998</v>
      </c>
      <c r="O84">
        <f>Table810[[#This Row],[mrt]]-(Table810[[#This Row],[macc]]*1000)</f>
        <v>1672.0076349999999</v>
      </c>
      <c r="P84" s="9">
        <f>(Table810[[#This Row],[prt]]-Table810[[#This Row],[grt]])</f>
        <v>-12.042553000000225</v>
      </c>
      <c r="Q84" s="8">
        <f>Table810[[#This Row],[pacc]]-Table810[[#This Row],[gacc]]</f>
        <v>0.20960884300000004</v>
      </c>
      <c r="R84" s="8">
        <f>Table810[[#This Row],[rt_pairing_score]]-Table810[[#This Row],[acc_pairing_score]]</f>
        <v>-12.252161843000225</v>
      </c>
    </row>
    <row r="85" spans="1:18" x14ac:dyDescent="0.25">
      <c r="A85" t="s">
        <v>245</v>
      </c>
      <c r="B85" s="1">
        <v>2539.306122</v>
      </c>
      <c r="C85" s="1">
        <v>728.88900060000003</v>
      </c>
      <c r="D85" s="1">
        <v>0.93877551000000004</v>
      </c>
      <c r="E85" s="1">
        <v>0.24222607099999999</v>
      </c>
      <c r="F85" s="1">
        <v>261</v>
      </c>
      <c r="G85" s="1">
        <v>2530.0444440000001</v>
      </c>
      <c r="H85" s="1">
        <v>724.2992524</v>
      </c>
      <c r="I85" s="1">
        <v>0.79166666699999999</v>
      </c>
      <c r="J85" s="1">
        <v>0.41041407899999999</v>
      </c>
      <c r="K85" s="1">
        <f>(B85+Table810[[#This Row],[grt]])/2</f>
        <v>2534.675283</v>
      </c>
      <c r="L85" s="1">
        <f>(Table810[[#This Row],[prtsd]]+Table810[[#This Row],[grtsd]])/2</f>
        <v>726.59412650000002</v>
      </c>
      <c r="M85" s="1">
        <f>(Table810[[#This Row],[pacc]]+Table810[[#This Row],[gacc]])/2</f>
        <v>0.86522108850000001</v>
      </c>
      <c r="N85" s="1">
        <f>(Table810[[#This Row],[paccsd]]+Table810[[#This Row],[gaccsd]])/2</f>
        <v>0.32632007499999999</v>
      </c>
      <c r="O85">
        <f>Table810[[#This Row],[mrt]]-(Table810[[#This Row],[macc]]*1000)</f>
        <v>1669.4541945000001</v>
      </c>
      <c r="P85" s="9">
        <f>(Table810[[#This Row],[prt]]-Table810[[#This Row],[grt]])</f>
        <v>9.2616779999998471</v>
      </c>
      <c r="Q85" s="8">
        <f>Table810[[#This Row],[pacc]]-Table810[[#This Row],[gacc]]</f>
        <v>0.14710884300000004</v>
      </c>
      <c r="R85" s="8">
        <f>Table810[[#This Row],[rt_pairing_score]]-Table810[[#This Row],[acc_pairing_score]]</f>
        <v>9.1145691569998473</v>
      </c>
    </row>
    <row r="86" spans="1:18" x14ac:dyDescent="0.25">
      <c r="A86" t="s">
        <v>57</v>
      </c>
      <c r="B86" s="1">
        <v>2468.7551020000001</v>
      </c>
      <c r="C86" s="1">
        <v>785.43903669999997</v>
      </c>
      <c r="D86" s="1">
        <v>0.72</v>
      </c>
      <c r="E86" s="1">
        <v>0.45355736800000002</v>
      </c>
      <c r="F86" s="1">
        <v>221</v>
      </c>
      <c r="G86" s="1">
        <v>2477.520833</v>
      </c>
      <c r="H86" s="1">
        <v>790.27678939999998</v>
      </c>
      <c r="I86" s="1">
        <v>0.89583333300000001</v>
      </c>
      <c r="J86" s="1">
        <v>0.30870927799999998</v>
      </c>
      <c r="K86" s="1">
        <f>(B86+Table810[[#This Row],[grt]])/2</f>
        <v>2473.1379674999998</v>
      </c>
      <c r="L86" s="1">
        <f>(Table810[[#This Row],[prtsd]]+Table810[[#This Row],[grtsd]])/2</f>
        <v>787.85791304999998</v>
      </c>
      <c r="M86" s="1">
        <f>(Table810[[#This Row],[pacc]]+Table810[[#This Row],[gacc]])/2</f>
        <v>0.80791666649999994</v>
      </c>
      <c r="N86" s="1">
        <f>(Table810[[#This Row],[paccsd]]+Table810[[#This Row],[gaccsd]])/2</f>
        <v>0.38113332300000002</v>
      </c>
      <c r="O86">
        <f>Table810[[#This Row],[mrt]]-(Table810[[#This Row],[macc]]*1000)</f>
        <v>1665.221301</v>
      </c>
      <c r="P86" s="9">
        <f>(Table810[[#This Row],[prt]]-Table810[[#This Row],[grt]])</f>
        <v>-8.7657309999999597</v>
      </c>
      <c r="Q86" s="8">
        <f>Table810[[#This Row],[pacc]]-Table810[[#This Row],[gacc]]</f>
        <v>-0.17583333300000004</v>
      </c>
      <c r="R86" s="8">
        <f>Table810[[#This Row],[rt_pairing_score]]-Table810[[#This Row],[acc_pairing_score]]</f>
        <v>-8.5898976669999598</v>
      </c>
    </row>
    <row r="87" spans="1:18" x14ac:dyDescent="0.25">
      <c r="A87" t="s">
        <v>96</v>
      </c>
      <c r="B87" s="1">
        <v>2434.7333330000001</v>
      </c>
      <c r="C87" s="1">
        <v>767.81479769999999</v>
      </c>
      <c r="D87" s="1">
        <v>0.79591836699999996</v>
      </c>
      <c r="E87" s="1">
        <v>0.40720550900000002</v>
      </c>
      <c r="F87" s="1">
        <v>680</v>
      </c>
      <c r="G87" s="1">
        <v>2424.6808510000001</v>
      </c>
      <c r="H87" s="1">
        <v>764.45508029999996</v>
      </c>
      <c r="I87" s="1">
        <v>0.75</v>
      </c>
      <c r="J87" s="1">
        <v>0.43759497400000003</v>
      </c>
      <c r="K87" s="1">
        <f>(B87+Table810[[#This Row],[grt]])/2</f>
        <v>2429.7070920000001</v>
      </c>
      <c r="L87" s="1">
        <f>(Table810[[#This Row],[prtsd]]+Table810[[#This Row],[grtsd]])/2</f>
        <v>766.13493900000003</v>
      </c>
      <c r="M87" s="1">
        <f>(Table810[[#This Row],[pacc]]+Table810[[#This Row],[gacc]])/2</f>
        <v>0.77295918350000004</v>
      </c>
      <c r="N87" s="1">
        <f>(Table810[[#This Row],[paccsd]]+Table810[[#This Row],[gaccsd]])/2</f>
        <v>0.4224002415</v>
      </c>
      <c r="O87">
        <f>Table810[[#This Row],[mrt]]-(Table810[[#This Row],[macc]]*1000)</f>
        <v>1656.7479085</v>
      </c>
      <c r="P87" s="9">
        <f>(Table810[[#This Row],[prt]]-Table810[[#This Row],[grt]])</f>
        <v>10.052482000000055</v>
      </c>
      <c r="Q87" s="8">
        <f>Table810[[#This Row],[pacc]]-Table810[[#This Row],[gacc]]</f>
        <v>4.591836699999996E-2</v>
      </c>
      <c r="R87" s="8">
        <f>Table810[[#This Row],[rt_pairing_score]]-Table810[[#This Row],[acc_pairing_score]]</f>
        <v>10.006563633000054</v>
      </c>
    </row>
    <row r="88" spans="1:18" x14ac:dyDescent="0.25">
      <c r="A88" t="s">
        <v>185</v>
      </c>
      <c r="B88" s="1">
        <v>2492.895833</v>
      </c>
      <c r="C88" s="1">
        <v>731.95320860000004</v>
      </c>
      <c r="D88" s="1">
        <v>0.9</v>
      </c>
      <c r="E88" s="1">
        <v>0.30304576300000002</v>
      </c>
      <c r="F88" s="1">
        <v>682</v>
      </c>
      <c r="G88" s="1">
        <v>2474.086957</v>
      </c>
      <c r="H88" s="1">
        <v>734.98531579999997</v>
      </c>
      <c r="I88" s="1">
        <v>0.78723404299999999</v>
      </c>
      <c r="J88" s="1">
        <v>0.41368808899999998</v>
      </c>
      <c r="K88" s="1">
        <f>(B88+Table810[[#This Row],[grt]])/2</f>
        <v>2483.491395</v>
      </c>
      <c r="L88" s="1">
        <f>(Table810[[#This Row],[prtsd]]+Table810[[#This Row],[grtsd]])/2</f>
        <v>733.4692622</v>
      </c>
      <c r="M88" s="1">
        <f>(Table810[[#This Row],[pacc]]+Table810[[#This Row],[gacc]])/2</f>
        <v>0.84361702150000006</v>
      </c>
      <c r="N88" s="1">
        <f>(Table810[[#This Row],[paccsd]]+Table810[[#This Row],[gaccsd]])/2</f>
        <v>0.35836692599999997</v>
      </c>
      <c r="O88">
        <f>Table810[[#This Row],[mrt]]-(Table810[[#This Row],[macc]]*1000)</f>
        <v>1639.8743734999998</v>
      </c>
      <c r="P88" s="9">
        <f>(Table810[[#This Row],[prt]]-Table810[[#This Row],[grt]])</f>
        <v>18.808876000000055</v>
      </c>
      <c r="Q88" s="8">
        <f>Table810[[#This Row],[pacc]]-Table810[[#This Row],[gacc]]</f>
        <v>0.11276595700000003</v>
      </c>
      <c r="R88" s="8">
        <f>Table810[[#This Row],[rt_pairing_score]]-Table810[[#This Row],[acc_pairing_score]]</f>
        <v>18.696110043000054</v>
      </c>
    </row>
    <row r="89" spans="1:18" x14ac:dyDescent="0.25">
      <c r="A89" t="s">
        <v>73</v>
      </c>
      <c r="B89" s="1">
        <v>2370.041667</v>
      </c>
      <c r="C89" s="1">
        <v>835.82546679999996</v>
      </c>
      <c r="D89" s="1">
        <v>0.755102041</v>
      </c>
      <c r="E89" s="1">
        <v>0.43448303799999999</v>
      </c>
      <c r="F89" s="1">
        <v>186</v>
      </c>
      <c r="G89" s="1">
        <v>2383.7777780000001</v>
      </c>
      <c r="H89" s="1">
        <v>842.67965140000001</v>
      </c>
      <c r="I89" s="1">
        <v>0.72340425500000005</v>
      </c>
      <c r="J89" s="1">
        <v>0.45215078600000003</v>
      </c>
      <c r="K89" s="1">
        <f>(B89+Table810[[#This Row],[grt]])/2</f>
        <v>2376.9097225</v>
      </c>
      <c r="L89" s="1">
        <f>(Table810[[#This Row],[prtsd]]+Table810[[#This Row],[grtsd]])/2</f>
        <v>839.25255909999998</v>
      </c>
      <c r="M89" s="1">
        <f>(Table810[[#This Row],[pacc]]+Table810[[#This Row],[gacc]])/2</f>
        <v>0.73925314799999997</v>
      </c>
      <c r="N89" s="1">
        <f>(Table810[[#This Row],[paccsd]]+Table810[[#This Row],[gaccsd]])/2</f>
        <v>0.44331691200000001</v>
      </c>
      <c r="O89">
        <f>Table810[[#This Row],[mrt]]-(Table810[[#This Row],[macc]]*1000)</f>
        <v>1637.6565745</v>
      </c>
      <c r="P89" s="9">
        <f>(Table810[[#This Row],[prt]]-Table810[[#This Row],[grt]])</f>
        <v>-13.736111000000164</v>
      </c>
      <c r="Q89" s="8">
        <f>Table810[[#This Row],[pacc]]-Table810[[#This Row],[gacc]]</f>
        <v>3.169778599999995E-2</v>
      </c>
      <c r="R89" s="8">
        <f>Table810[[#This Row],[rt_pairing_score]]-Table810[[#This Row],[acc_pairing_score]]</f>
        <v>-13.767808786000165</v>
      </c>
    </row>
    <row r="90" spans="1:18" x14ac:dyDescent="0.25">
      <c r="A90" t="s">
        <v>74</v>
      </c>
      <c r="B90" s="1">
        <v>2431.1739130000001</v>
      </c>
      <c r="C90" s="1">
        <v>778.90605070000004</v>
      </c>
      <c r="D90" s="1">
        <v>0.755102041</v>
      </c>
      <c r="E90" s="1">
        <v>0.43448303799999999</v>
      </c>
      <c r="F90" s="1">
        <v>385</v>
      </c>
      <c r="G90" s="1">
        <v>2444.869565</v>
      </c>
      <c r="H90" s="1">
        <v>776.86299689999998</v>
      </c>
      <c r="I90" s="1">
        <v>0.87234042599999995</v>
      </c>
      <c r="J90" s="1">
        <v>0.33731814900000001</v>
      </c>
      <c r="K90" s="1">
        <f>(B90+Table810[[#This Row],[grt]])/2</f>
        <v>2438.0217389999998</v>
      </c>
      <c r="L90" s="1">
        <f>(Table810[[#This Row],[prtsd]]+Table810[[#This Row],[grtsd]])/2</f>
        <v>777.88452380000001</v>
      </c>
      <c r="M90" s="1">
        <f>(Table810[[#This Row],[pacc]]+Table810[[#This Row],[gacc]])/2</f>
        <v>0.81372123349999992</v>
      </c>
      <c r="N90" s="1">
        <f>(Table810[[#This Row],[paccsd]]+Table810[[#This Row],[gaccsd]])/2</f>
        <v>0.3859005935</v>
      </c>
      <c r="O90">
        <f>Table810[[#This Row],[mrt]]-(Table810[[#This Row],[macc]]*1000)</f>
        <v>1624.3005054999999</v>
      </c>
      <c r="P90" s="9">
        <f>(Table810[[#This Row],[prt]]-Table810[[#This Row],[grt]])</f>
        <v>-13.695651999999882</v>
      </c>
      <c r="Q90" s="8">
        <f>Table810[[#This Row],[pacc]]-Table810[[#This Row],[gacc]]</f>
        <v>-0.11723838499999995</v>
      </c>
      <c r="R90" s="8">
        <f>Table810[[#This Row],[rt_pairing_score]]-Table810[[#This Row],[acc_pairing_score]]</f>
        <v>-13.578413614999882</v>
      </c>
    </row>
    <row r="91" spans="1:18" x14ac:dyDescent="0.25">
      <c r="A91" t="s">
        <v>85</v>
      </c>
      <c r="B91" s="1">
        <v>2344.083333</v>
      </c>
      <c r="C91" s="1">
        <v>776.09696789999998</v>
      </c>
      <c r="D91" s="1">
        <v>0.77551020400000004</v>
      </c>
      <c r="E91" s="1">
        <v>0.42156979100000003</v>
      </c>
      <c r="F91" s="1">
        <v>237</v>
      </c>
      <c r="G91" s="1">
        <v>2361.2978720000001</v>
      </c>
      <c r="H91" s="1">
        <v>772.68622110000001</v>
      </c>
      <c r="I91" s="1">
        <v>0.6875</v>
      </c>
      <c r="J91" s="1">
        <v>0.46841743499999999</v>
      </c>
      <c r="K91" s="1">
        <f>(B91+Table810[[#This Row],[grt]])/2</f>
        <v>2352.6906024999998</v>
      </c>
      <c r="L91" s="1">
        <f>(Table810[[#This Row],[prtsd]]+Table810[[#This Row],[grtsd]])/2</f>
        <v>774.3915945</v>
      </c>
      <c r="M91" s="1">
        <f>(Table810[[#This Row],[pacc]]+Table810[[#This Row],[gacc]])/2</f>
        <v>0.73150510200000007</v>
      </c>
      <c r="N91" s="1">
        <f>(Table810[[#This Row],[paccsd]]+Table810[[#This Row],[gaccsd]])/2</f>
        <v>0.44499361300000001</v>
      </c>
      <c r="O91">
        <f>Table810[[#This Row],[mrt]]-(Table810[[#This Row],[macc]]*1000)</f>
        <v>1621.1855004999998</v>
      </c>
      <c r="P91" s="9">
        <f>(Table810[[#This Row],[prt]]-Table810[[#This Row],[grt]])</f>
        <v>-17.214539000000059</v>
      </c>
      <c r="Q91" s="8">
        <f>Table810[[#This Row],[pacc]]-Table810[[#This Row],[gacc]]</f>
        <v>8.8010204000000036E-2</v>
      </c>
      <c r="R91" s="8">
        <f>Table810[[#This Row],[rt_pairing_score]]-Table810[[#This Row],[acc_pairing_score]]</f>
        <v>-17.302549204000059</v>
      </c>
    </row>
    <row r="92" spans="1:18" x14ac:dyDescent="0.25">
      <c r="A92" t="s">
        <v>184</v>
      </c>
      <c r="B92" s="1">
        <v>2472.833333</v>
      </c>
      <c r="C92" s="1">
        <v>755.24600290000001</v>
      </c>
      <c r="D92" s="1">
        <v>0.9</v>
      </c>
      <c r="E92" s="1">
        <v>0.30304576300000002</v>
      </c>
      <c r="F92" s="1">
        <v>542</v>
      </c>
      <c r="G92" s="1">
        <v>2475.4888890000002</v>
      </c>
      <c r="H92" s="1">
        <v>753.67477380000003</v>
      </c>
      <c r="I92" s="1">
        <v>0.808510638</v>
      </c>
      <c r="J92" s="1">
        <v>0.39772712300000002</v>
      </c>
      <c r="K92" s="1">
        <f>(B92+Table810[[#This Row],[grt]])/2</f>
        <v>2474.1611110000003</v>
      </c>
      <c r="L92" s="1">
        <f>(Table810[[#This Row],[prtsd]]+Table810[[#This Row],[grtsd]])/2</f>
        <v>754.46038835000002</v>
      </c>
      <c r="M92" s="1">
        <f>(Table810[[#This Row],[pacc]]+Table810[[#This Row],[gacc]])/2</f>
        <v>0.85425531899999996</v>
      </c>
      <c r="N92" s="1">
        <f>(Table810[[#This Row],[paccsd]]+Table810[[#This Row],[gaccsd]])/2</f>
        <v>0.35038644299999999</v>
      </c>
      <c r="O92">
        <f>Table810[[#This Row],[mrt]]-(Table810[[#This Row],[macc]]*1000)</f>
        <v>1619.9057920000005</v>
      </c>
      <c r="P92" s="9">
        <f>(Table810[[#This Row],[prt]]-Table810[[#This Row],[grt]])</f>
        <v>-2.6555560000001606</v>
      </c>
      <c r="Q92" s="8">
        <f>Table810[[#This Row],[pacc]]-Table810[[#This Row],[gacc]]</f>
        <v>9.1489362000000019E-2</v>
      </c>
      <c r="R92" s="8">
        <f>Table810[[#This Row],[rt_pairing_score]]-Table810[[#This Row],[acc_pairing_score]]</f>
        <v>-2.7470453620001605</v>
      </c>
    </row>
    <row r="93" spans="1:18" x14ac:dyDescent="0.25">
      <c r="A93" t="s">
        <v>61</v>
      </c>
      <c r="B93" s="1">
        <v>2402.4042549999999</v>
      </c>
      <c r="C93" s="1">
        <v>766.37582050000003</v>
      </c>
      <c r="D93" s="1">
        <v>0.73469387799999997</v>
      </c>
      <c r="E93" s="1">
        <v>0.44607128600000001</v>
      </c>
      <c r="F93" s="1">
        <v>331</v>
      </c>
      <c r="G93" s="1">
        <v>2393.5217389999998</v>
      </c>
      <c r="H93" s="1">
        <v>773.9952839</v>
      </c>
      <c r="I93" s="1">
        <v>0.83333333300000001</v>
      </c>
      <c r="J93" s="1">
        <v>0.37662178899999998</v>
      </c>
      <c r="K93" s="1">
        <f>(B93+Table810[[#This Row],[grt]])/2</f>
        <v>2397.9629969999996</v>
      </c>
      <c r="L93" s="1">
        <f>(Table810[[#This Row],[prtsd]]+Table810[[#This Row],[grtsd]])/2</f>
        <v>770.18555220000007</v>
      </c>
      <c r="M93" s="1">
        <f>(Table810[[#This Row],[pacc]]+Table810[[#This Row],[gacc]])/2</f>
        <v>0.78401360549999999</v>
      </c>
      <c r="N93" s="1">
        <f>(Table810[[#This Row],[paccsd]]+Table810[[#This Row],[gaccsd]])/2</f>
        <v>0.4113465375</v>
      </c>
      <c r="O93">
        <f>Table810[[#This Row],[mrt]]-(Table810[[#This Row],[macc]]*1000)</f>
        <v>1613.9493914999996</v>
      </c>
      <c r="P93" s="9">
        <f>(Table810[[#This Row],[prt]]-Table810[[#This Row],[grt]])</f>
        <v>8.8825160000001233</v>
      </c>
      <c r="Q93" s="8">
        <f>Table810[[#This Row],[pacc]]-Table810[[#This Row],[gacc]]</f>
        <v>-9.8639455000000043E-2</v>
      </c>
      <c r="R93" s="8">
        <f>Table810[[#This Row],[rt_pairing_score]]-Table810[[#This Row],[acc_pairing_score]]</f>
        <v>8.981155455000124</v>
      </c>
    </row>
    <row r="94" spans="1:18" x14ac:dyDescent="0.25">
      <c r="A94" s="7" t="s">
        <v>53</v>
      </c>
      <c r="B94" s="6">
        <v>2295.5510199999999</v>
      </c>
      <c r="C94" s="6">
        <v>911.76973199999998</v>
      </c>
      <c r="D94" s="6">
        <v>0.71428571399999996</v>
      </c>
      <c r="E94" s="6">
        <v>0.45643546499999998</v>
      </c>
      <c r="F94" s="6">
        <v>549</v>
      </c>
      <c r="G94" s="6">
        <v>2415.3125</v>
      </c>
      <c r="H94" s="6">
        <v>902.75375770000005</v>
      </c>
      <c r="I94" s="6">
        <v>0.77083333300000001</v>
      </c>
      <c r="J94" s="6">
        <v>0.424744395</v>
      </c>
      <c r="K94" s="6">
        <f>(B94+Table810[[#This Row],[grt]])/2</f>
        <v>2355.4317599999999</v>
      </c>
      <c r="L94" s="6">
        <f>(Table810[[#This Row],[prtsd]]+Table810[[#This Row],[grtsd]])/2</f>
        <v>907.26174485000001</v>
      </c>
      <c r="M94" s="6">
        <f>(Table810[[#This Row],[pacc]]+Table810[[#This Row],[gacc]])/2</f>
        <v>0.74255952349999998</v>
      </c>
      <c r="N94" s="6">
        <f>(Table810[[#This Row],[paccsd]]+Table810[[#This Row],[gaccsd]])/2</f>
        <v>0.44058993000000002</v>
      </c>
      <c r="O94" s="7">
        <f>Table810[[#This Row],[mrt]]-(Table810[[#This Row],[macc]]*1000)</f>
        <v>1612.8722364999999</v>
      </c>
      <c r="P94" s="9">
        <f>(Table810[[#This Row],[prt]]-Table810[[#This Row],[grt]])</f>
        <v>-119.76148000000012</v>
      </c>
      <c r="Q94" s="8">
        <f>Table810[[#This Row],[pacc]]-Table810[[#This Row],[gacc]]</f>
        <v>-5.6547619000000049E-2</v>
      </c>
      <c r="R94" s="8">
        <f>Table810[[#This Row],[rt_pairing_score]]-Table810[[#This Row],[acc_pairing_score]]</f>
        <v>-119.70493238100012</v>
      </c>
    </row>
    <row r="95" spans="1:18" x14ac:dyDescent="0.25">
      <c r="A95" t="s">
        <v>24</v>
      </c>
      <c r="B95" s="1">
        <v>2369.8478260000002</v>
      </c>
      <c r="C95" s="1">
        <v>743.50972400000001</v>
      </c>
      <c r="D95" s="1">
        <v>0.6</v>
      </c>
      <c r="E95" s="1">
        <v>0.49487165900000002</v>
      </c>
      <c r="F95" s="1">
        <v>368</v>
      </c>
      <c r="G95" s="1">
        <v>2358.914894</v>
      </c>
      <c r="H95" s="1">
        <v>751.91153010000005</v>
      </c>
      <c r="I95" s="1">
        <v>0.91666666699999999</v>
      </c>
      <c r="J95" s="1">
        <v>0.27931019400000001</v>
      </c>
      <c r="K95" s="1">
        <f>(B95+Table810[[#This Row],[grt]])/2</f>
        <v>2364.3813600000003</v>
      </c>
      <c r="L95" s="1">
        <f>(Table810[[#This Row],[prtsd]]+Table810[[#This Row],[grtsd]])/2</f>
        <v>747.71062705000008</v>
      </c>
      <c r="M95" s="1">
        <f>(Table810[[#This Row],[pacc]]+Table810[[#This Row],[gacc]])/2</f>
        <v>0.75833333349999998</v>
      </c>
      <c r="N95" s="1">
        <f>(Table810[[#This Row],[paccsd]]+Table810[[#This Row],[gaccsd]])/2</f>
        <v>0.38709092649999999</v>
      </c>
      <c r="O95">
        <f>Table810[[#This Row],[mrt]]-(Table810[[#This Row],[macc]]*1000)</f>
        <v>1606.0480265000003</v>
      </c>
      <c r="P95" s="9">
        <f>(Table810[[#This Row],[prt]]-Table810[[#This Row],[grt]])</f>
        <v>10.932932000000164</v>
      </c>
      <c r="Q95" s="8">
        <f>Table810[[#This Row],[pacc]]-Table810[[#This Row],[gacc]]</f>
        <v>-0.31666666700000001</v>
      </c>
      <c r="R95" s="8">
        <f>Table810[[#This Row],[rt_pairing_score]]-Table810[[#This Row],[acc_pairing_score]]</f>
        <v>11.249598667000164</v>
      </c>
    </row>
    <row r="96" spans="1:18" x14ac:dyDescent="0.25">
      <c r="A96" t="s">
        <v>345</v>
      </c>
      <c r="B96" s="1">
        <v>2450.816327</v>
      </c>
      <c r="C96" s="1">
        <v>754.29074500000002</v>
      </c>
      <c r="D96" s="1">
        <v>0.97959183699999997</v>
      </c>
      <c r="E96" s="1">
        <v>0.14285714299999999</v>
      </c>
      <c r="F96" s="1">
        <v>713</v>
      </c>
      <c r="G96" s="1">
        <v>2447.3255810000001</v>
      </c>
      <c r="H96" s="1">
        <v>763.4418842</v>
      </c>
      <c r="I96" s="1">
        <v>0.70833333300000001</v>
      </c>
      <c r="J96" s="1">
        <v>0.45933964300000002</v>
      </c>
      <c r="K96" s="1">
        <f>(B96+Table810[[#This Row],[grt]])/2</f>
        <v>2449.0709539999998</v>
      </c>
      <c r="L96" s="1">
        <f>(Table810[[#This Row],[prtsd]]+Table810[[#This Row],[grtsd]])/2</f>
        <v>758.86631460000001</v>
      </c>
      <c r="M96" s="1">
        <f>(Table810[[#This Row],[pacc]]+Table810[[#This Row],[gacc]])/2</f>
        <v>0.84396258499999999</v>
      </c>
      <c r="N96" s="1">
        <f>(Table810[[#This Row],[paccsd]]+Table810[[#This Row],[gaccsd]])/2</f>
        <v>0.30109839300000002</v>
      </c>
      <c r="O96">
        <f>Table810[[#This Row],[mrt]]-(Table810[[#This Row],[macc]]*1000)</f>
        <v>1605.1083689999998</v>
      </c>
      <c r="P96" s="9">
        <f>(Table810[[#This Row],[prt]]-Table810[[#This Row],[grt]])</f>
        <v>3.4907459999999446</v>
      </c>
      <c r="Q96" s="8">
        <f>Table810[[#This Row],[pacc]]-Table810[[#This Row],[gacc]]</f>
        <v>0.27125850399999996</v>
      </c>
      <c r="R96" s="8">
        <f>Table810[[#This Row],[rt_pairing_score]]-Table810[[#This Row],[acc_pairing_score]]</f>
        <v>3.2194874959999447</v>
      </c>
    </row>
    <row r="97" spans="1:18" x14ac:dyDescent="0.25">
      <c r="A97" t="s">
        <v>60</v>
      </c>
      <c r="B97" s="1">
        <v>2429.9361699999999</v>
      </c>
      <c r="C97" s="1">
        <v>688.25672680000002</v>
      </c>
      <c r="D97" s="1">
        <v>0.73469387799999997</v>
      </c>
      <c r="E97" s="1">
        <v>0.44607128600000001</v>
      </c>
      <c r="F97" s="1">
        <v>155</v>
      </c>
      <c r="G97" s="1">
        <v>2409.0652169999998</v>
      </c>
      <c r="H97" s="1">
        <v>692.63401920000001</v>
      </c>
      <c r="I97" s="1">
        <v>0.89583333300000001</v>
      </c>
      <c r="J97" s="1">
        <v>0.30870927799999998</v>
      </c>
      <c r="K97" s="1">
        <f>(B97+Table810[[#This Row],[grt]])/2</f>
        <v>2419.5006935000001</v>
      </c>
      <c r="L97" s="1">
        <f>(Table810[[#This Row],[prtsd]]+Table810[[#This Row],[grtsd]])/2</f>
        <v>690.44537300000002</v>
      </c>
      <c r="M97" s="1">
        <f>(Table810[[#This Row],[pacc]]+Table810[[#This Row],[gacc]])/2</f>
        <v>0.81526360549999999</v>
      </c>
      <c r="N97" s="1">
        <f>(Table810[[#This Row],[paccsd]]+Table810[[#This Row],[gaccsd]])/2</f>
        <v>0.37739028200000002</v>
      </c>
      <c r="O97">
        <f>Table810[[#This Row],[mrt]]-(Table810[[#This Row],[macc]]*1000)</f>
        <v>1604.2370880000001</v>
      </c>
      <c r="P97" s="9">
        <f>(Table810[[#This Row],[prt]]-Table810[[#This Row],[grt]])</f>
        <v>20.8709530000001</v>
      </c>
      <c r="Q97" s="8">
        <f>Table810[[#This Row],[pacc]]-Table810[[#This Row],[gacc]]</f>
        <v>-0.16113945500000004</v>
      </c>
      <c r="R97" s="8">
        <f>Table810[[#This Row],[rt_pairing_score]]-Table810[[#This Row],[acc_pairing_score]]</f>
        <v>21.0320924550001</v>
      </c>
    </row>
    <row r="98" spans="1:18" x14ac:dyDescent="0.25">
      <c r="A98" t="s">
        <v>56</v>
      </c>
      <c r="B98" s="1">
        <v>2400.8571430000002</v>
      </c>
      <c r="C98" s="1">
        <v>821.4738787</v>
      </c>
      <c r="D98" s="1">
        <v>0.72</v>
      </c>
      <c r="E98" s="1">
        <v>0.45355736800000002</v>
      </c>
      <c r="F98" s="1">
        <v>226</v>
      </c>
      <c r="G98" s="1">
        <v>2411.895833</v>
      </c>
      <c r="H98" s="1">
        <v>814.84096450000004</v>
      </c>
      <c r="I98" s="1">
        <v>0.89583333300000001</v>
      </c>
      <c r="J98" s="1">
        <v>0.30870927799999998</v>
      </c>
      <c r="K98" s="1">
        <f>(B98+Table810[[#This Row],[grt]])/2</f>
        <v>2406.3764879999999</v>
      </c>
      <c r="L98" s="1">
        <f>(Table810[[#This Row],[prtsd]]+Table810[[#This Row],[grtsd]])/2</f>
        <v>818.15742160000002</v>
      </c>
      <c r="M98" s="1">
        <f>(Table810[[#This Row],[pacc]]+Table810[[#This Row],[gacc]])/2</f>
        <v>0.80791666649999994</v>
      </c>
      <c r="N98" s="1">
        <f>(Table810[[#This Row],[paccsd]]+Table810[[#This Row],[gaccsd]])/2</f>
        <v>0.38113332300000002</v>
      </c>
      <c r="O98">
        <f>Table810[[#This Row],[mrt]]-(Table810[[#This Row],[macc]]*1000)</f>
        <v>1598.4598215000001</v>
      </c>
      <c r="P98" s="9">
        <f>(Table810[[#This Row],[prt]]-Table810[[#This Row],[grt]])</f>
        <v>-11.03868999999986</v>
      </c>
      <c r="Q98" s="8">
        <f>Table810[[#This Row],[pacc]]-Table810[[#This Row],[gacc]]</f>
        <v>-0.17583333300000004</v>
      </c>
      <c r="R98" s="8">
        <f>Table810[[#This Row],[rt_pairing_score]]-Table810[[#This Row],[acc_pairing_score]]</f>
        <v>-10.862856666999861</v>
      </c>
    </row>
    <row r="99" spans="1:18" x14ac:dyDescent="0.25">
      <c r="A99" t="s">
        <v>33</v>
      </c>
      <c r="B99" s="1">
        <v>2383.5555559999998</v>
      </c>
      <c r="C99" s="1">
        <v>694.99504760000002</v>
      </c>
      <c r="D99" s="1">
        <v>0.64583333300000001</v>
      </c>
      <c r="E99" s="1">
        <v>0.48332110499999997</v>
      </c>
      <c r="F99" s="1">
        <v>470</v>
      </c>
      <c r="G99" s="1">
        <v>2377.7391299999999</v>
      </c>
      <c r="H99" s="1">
        <v>690.81299720000004</v>
      </c>
      <c r="I99" s="1">
        <v>0.93617021300000003</v>
      </c>
      <c r="J99" s="1">
        <v>0.24709224799999999</v>
      </c>
      <c r="K99" s="1">
        <f>(B99+Table810[[#This Row],[grt]])/2</f>
        <v>2380.6473429999996</v>
      </c>
      <c r="L99" s="1">
        <f>(Table810[[#This Row],[prtsd]]+Table810[[#This Row],[grtsd]])/2</f>
        <v>692.90402240000003</v>
      </c>
      <c r="M99" s="1">
        <f>(Table810[[#This Row],[pacc]]+Table810[[#This Row],[gacc]])/2</f>
        <v>0.79100177300000007</v>
      </c>
      <c r="N99" s="1">
        <f>(Table810[[#This Row],[paccsd]]+Table810[[#This Row],[gaccsd]])/2</f>
        <v>0.36520667649999999</v>
      </c>
      <c r="O99">
        <f>Table810[[#This Row],[mrt]]-(Table810[[#This Row],[macc]]*1000)</f>
        <v>1589.6455699999997</v>
      </c>
      <c r="P99" s="9">
        <f>(Table810[[#This Row],[prt]]-Table810[[#This Row],[grt]])</f>
        <v>5.8164259999998649</v>
      </c>
      <c r="Q99" s="8">
        <f>Table810[[#This Row],[pacc]]-Table810[[#This Row],[gacc]]</f>
        <v>-0.29033688000000002</v>
      </c>
      <c r="R99" s="8">
        <f>Table810[[#This Row],[rt_pairing_score]]-Table810[[#This Row],[acc_pairing_score]]</f>
        <v>6.1067628799998648</v>
      </c>
    </row>
    <row r="100" spans="1:18" x14ac:dyDescent="0.25">
      <c r="A100" t="s">
        <v>54</v>
      </c>
      <c r="B100" s="1">
        <v>2408.1914889999998</v>
      </c>
      <c r="C100" s="1">
        <v>699.50748629999998</v>
      </c>
      <c r="D100" s="1">
        <v>0.72</v>
      </c>
      <c r="E100" s="1">
        <v>0.45355736800000002</v>
      </c>
      <c r="F100" s="1">
        <v>129</v>
      </c>
      <c r="G100" s="1">
        <v>2402.4444440000002</v>
      </c>
      <c r="H100" s="1">
        <v>704.35149269999999</v>
      </c>
      <c r="I100" s="1">
        <v>0.91304347799999996</v>
      </c>
      <c r="J100" s="1">
        <v>0.28488492500000001</v>
      </c>
      <c r="K100" s="1">
        <f>(B100+Table810[[#This Row],[grt]])/2</f>
        <v>2405.3179664999998</v>
      </c>
      <c r="L100" s="1">
        <f>(Table810[[#This Row],[prtsd]]+Table810[[#This Row],[grtsd]])/2</f>
        <v>701.92948950000005</v>
      </c>
      <c r="M100" s="1">
        <f>(Table810[[#This Row],[pacc]]+Table810[[#This Row],[gacc]])/2</f>
        <v>0.81652173899999991</v>
      </c>
      <c r="N100" s="1">
        <f>(Table810[[#This Row],[paccsd]]+Table810[[#This Row],[gaccsd]])/2</f>
        <v>0.36922114650000004</v>
      </c>
      <c r="O100">
        <f>Table810[[#This Row],[mrt]]-(Table810[[#This Row],[macc]]*1000)</f>
        <v>1588.7962275</v>
      </c>
      <c r="P100" s="9">
        <f>(Table810[[#This Row],[prt]]-Table810[[#This Row],[grt]])</f>
        <v>5.7470449999996163</v>
      </c>
      <c r="Q100" s="8">
        <f>Table810[[#This Row],[pacc]]-Table810[[#This Row],[gacc]]</f>
        <v>-0.19304347799999999</v>
      </c>
      <c r="R100" s="8">
        <f>Table810[[#This Row],[rt_pairing_score]]-Table810[[#This Row],[acc_pairing_score]]</f>
        <v>5.9400884779996161</v>
      </c>
    </row>
    <row r="101" spans="1:18" x14ac:dyDescent="0.25">
      <c r="A101" t="s">
        <v>176</v>
      </c>
      <c r="B101" s="1">
        <v>2350</v>
      </c>
      <c r="C101" s="1">
        <v>844.55403720000004</v>
      </c>
      <c r="D101" s="1">
        <v>0.89795918399999997</v>
      </c>
      <c r="E101" s="1">
        <v>0.30583887100000001</v>
      </c>
      <c r="F101" s="1">
        <v>642</v>
      </c>
      <c r="G101" s="1">
        <v>2347.9347830000002</v>
      </c>
      <c r="H101" s="1">
        <v>848.14187500000003</v>
      </c>
      <c r="I101" s="1">
        <v>0.625</v>
      </c>
      <c r="J101" s="1">
        <v>0.48924605500000001</v>
      </c>
      <c r="K101" s="1">
        <f>(B101+Table810[[#This Row],[grt]])/2</f>
        <v>2348.9673915000003</v>
      </c>
      <c r="L101" s="1">
        <f>(Table810[[#This Row],[prtsd]]+Table810[[#This Row],[grtsd]])/2</f>
        <v>846.34795610000003</v>
      </c>
      <c r="M101" s="1">
        <f>(Table810[[#This Row],[pacc]]+Table810[[#This Row],[gacc]])/2</f>
        <v>0.76147959199999993</v>
      </c>
      <c r="N101" s="1">
        <f>(Table810[[#This Row],[paccsd]]+Table810[[#This Row],[gaccsd]])/2</f>
        <v>0.39754246300000001</v>
      </c>
      <c r="O101">
        <f>Table810[[#This Row],[mrt]]-(Table810[[#This Row],[macc]]*1000)</f>
        <v>1587.4877995000004</v>
      </c>
      <c r="P101" s="9">
        <f>(Table810[[#This Row],[prt]]-Table810[[#This Row],[grt]])</f>
        <v>2.0652169999998478</v>
      </c>
      <c r="Q101" s="8">
        <f>Table810[[#This Row],[pacc]]-Table810[[#This Row],[gacc]]</f>
        <v>0.27295918399999997</v>
      </c>
      <c r="R101" s="8">
        <f>Table810[[#This Row],[rt_pairing_score]]-Table810[[#This Row],[acc_pairing_score]]</f>
        <v>1.7922578159998479</v>
      </c>
    </row>
    <row r="102" spans="1:18" x14ac:dyDescent="0.25">
      <c r="A102" t="s">
        <v>29</v>
      </c>
      <c r="B102" s="1">
        <v>2343.851064</v>
      </c>
      <c r="C102" s="1">
        <v>706.39701170000001</v>
      </c>
      <c r="D102" s="1">
        <v>0.62</v>
      </c>
      <c r="E102" s="1">
        <v>0.49031435099999998</v>
      </c>
      <c r="F102" s="1">
        <v>143</v>
      </c>
      <c r="G102" s="1">
        <v>2323.041667</v>
      </c>
      <c r="H102" s="1">
        <v>705.00354479999999</v>
      </c>
      <c r="I102" s="1">
        <v>0.91666666699999999</v>
      </c>
      <c r="J102" s="1">
        <v>0.27931019400000001</v>
      </c>
      <c r="K102" s="1">
        <f>(B102+Table810[[#This Row],[grt]])/2</f>
        <v>2333.4463655</v>
      </c>
      <c r="L102" s="1">
        <f>(Table810[[#This Row],[prtsd]]+Table810[[#This Row],[grtsd]])/2</f>
        <v>705.70027825</v>
      </c>
      <c r="M102" s="1">
        <f>(Table810[[#This Row],[pacc]]+Table810[[#This Row],[gacc]])/2</f>
        <v>0.76833333349999999</v>
      </c>
      <c r="N102" s="1">
        <f>(Table810[[#This Row],[paccsd]]+Table810[[#This Row],[gaccsd]])/2</f>
        <v>0.3848122725</v>
      </c>
      <c r="O102">
        <f>Table810[[#This Row],[mrt]]-(Table810[[#This Row],[macc]]*1000)</f>
        <v>1565.113032</v>
      </c>
      <c r="P102" s="9">
        <f>(Table810[[#This Row],[prt]]-Table810[[#This Row],[grt]])</f>
        <v>20.80939699999999</v>
      </c>
      <c r="Q102" s="8">
        <f>Table810[[#This Row],[pacc]]-Table810[[#This Row],[gacc]]</f>
        <v>-0.296666667</v>
      </c>
      <c r="R102" s="8">
        <f>Table810[[#This Row],[rt_pairing_score]]-Table810[[#This Row],[acc_pairing_score]]</f>
        <v>21.10606366699999</v>
      </c>
    </row>
    <row r="103" spans="1:18" x14ac:dyDescent="0.25">
      <c r="A103" t="s">
        <v>122</v>
      </c>
      <c r="B103" s="1">
        <v>2369.4222220000001</v>
      </c>
      <c r="C103" s="1">
        <v>661.47852599999999</v>
      </c>
      <c r="D103" s="1">
        <v>0.836734694</v>
      </c>
      <c r="E103" s="1">
        <v>0.37343778900000002</v>
      </c>
      <c r="F103" s="1">
        <v>119</v>
      </c>
      <c r="G103" s="1">
        <v>2380.9555559999999</v>
      </c>
      <c r="H103" s="1">
        <v>659.06865949999997</v>
      </c>
      <c r="I103" s="1">
        <v>0.78723404299999999</v>
      </c>
      <c r="J103" s="1">
        <v>0.41368808899999998</v>
      </c>
      <c r="K103" s="1">
        <f>(B103+Table810[[#This Row],[grt]])/2</f>
        <v>2375.188889</v>
      </c>
      <c r="L103" s="1">
        <f>(Table810[[#This Row],[prtsd]]+Table810[[#This Row],[grtsd]])/2</f>
        <v>660.27359275000003</v>
      </c>
      <c r="M103" s="1">
        <f>(Table810[[#This Row],[pacc]]+Table810[[#This Row],[gacc]])/2</f>
        <v>0.8119843685</v>
      </c>
      <c r="N103" s="1">
        <f>(Table810[[#This Row],[paccsd]]+Table810[[#This Row],[gaccsd]])/2</f>
        <v>0.393562939</v>
      </c>
      <c r="O103">
        <f>Table810[[#This Row],[mrt]]-(Table810[[#This Row],[macc]]*1000)</f>
        <v>1563.2045204999999</v>
      </c>
      <c r="P103" s="9">
        <f>(Table810[[#This Row],[prt]]-Table810[[#This Row],[grt]])</f>
        <v>-11.533333999999741</v>
      </c>
      <c r="Q103" s="8">
        <f>Table810[[#This Row],[pacc]]-Table810[[#This Row],[gacc]]</f>
        <v>4.9500651000000007E-2</v>
      </c>
      <c r="R103" s="8">
        <f>Table810[[#This Row],[rt_pairing_score]]-Table810[[#This Row],[acc_pairing_score]]</f>
        <v>-11.582834650999741</v>
      </c>
    </row>
    <row r="104" spans="1:18" x14ac:dyDescent="0.25">
      <c r="A104" t="s">
        <v>145</v>
      </c>
      <c r="B104" s="1">
        <v>2423.413043</v>
      </c>
      <c r="C104" s="1">
        <v>756.83805919999998</v>
      </c>
      <c r="D104" s="1">
        <v>0.87755101999999996</v>
      </c>
      <c r="E104" s="1">
        <v>0.33120066100000001</v>
      </c>
      <c r="F104" s="1">
        <v>260</v>
      </c>
      <c r="G104" s="1">
        <v>2429.1914889999998</v>
      </c>
      <c r="H104" s="1">
        <v>762.89043140000001</v>
      </c>
      <c r="I104" s="1">
        <v>0.85416666699999999</v>
      </c>
      <c r="J104" s="1">
        <v>0.35667395800000001</v>
      </c>
      <c r="K104" s="1">
        <f>(B104+Table810[[#This Row],[grt]])/2</f>
        <v>2426.3022659999997</v>
      </c>
      <c r="L104" s="1">
        <f>(Table810[[#This Row],[prtsd]]+Table810[[#This Row],[grtsd]])/2</f>
        <v>759.86424529999999</v>
      </c>
      <c r="M104" s="1">
        <f>(Table810[[#This Row],[pacc]]+Table810[[#This Row],[gacc]])/2</f>
        <v>0.86585884349999998</v>
      </c>
      <c r="N104" s="1">
        <f>(Table810[[#This Row],[paccsd]]+Table810[[#This Row],[gaccsd]])/2</f>
        <v>0.34393730950000001</v>
      </c>
      <c r="O104">
        <f>Table810[[#This Row],[mrt]]-(Table810[[#This Row],[macc]]*1000)</f>
        <v>1560.4434224999998</v>
      </c>
      <c r="P104" s="9">
        <f>(Table810[[#This Row],[prt]]-Table810[[#This Row],[grt]])</f>
        <v>-5.7784459999998035</v>
      </c>
      <c r="Q104" s="8">
        <f>Table810[[#This Row],[pacc]]-Table810[[#This Row],[gacc]]</f>
        <v>2.3384352999999969E-2</v>
      </c>
      <c r="R104" s="8">
        <f>Table810[[#This Row],[rt_pairing_score]]-Table810[[#This Row],[acc_pairing_score]]</f>
        <v>-5.8018303529998034</v>
      </c>
    </row>
    <row r="105" spans="1:18" x14ac:dyDescent="0.25">
      <c r="A105" s="7" t="s">
        <v>118</v>
      </c>
      <c r="B105" s="6">
        <v>2278.2391299999999</v>
      </c>
      <c r="C105" s="6">
        <v>831.40056360000005</v>
      </c>
      <c r="D105" s="6">
        <v>0.82608695700000001</v>
      </c>
      <c r="E105" s="6">
        <v>0.38322304699999998</v>
      </c>
      <c r="F105" s="6">
        <v>193</v>
      </c>
      <c r="G105" s="6">
        <v>2297.9782610000002</v>
      </c>
      <c r="H105" s="6">
        <v>826.16410770000005</v>
      </c>
      <c r="I105" s="6">
        <v>0.65957446799999997</v>
      </c>
      <c r="J105" s="6">
        <v>0.47897516200000001</v>
      </c>
      <c r="K105" s="6">
        <f>(B105+Table810[[#This Row],[grt]])/2</f>
        <v>2288.1086955000001</v>
      </c>
      <c r="L105" s="6">
        <f>(Table810[[#This Row],[prtsd]]+Table810[[#This Row],[grtsd]])/2</f>
        <v>828.78233565000005</v>
      </c>
      <c r="M105" s="6">
        <f>(Table810[[#This Row],[pacc]]+Table810[[#This Row],[gacc]])/2</f>
        <v>0.74283071249999999</v>
      </c>
      <c r="N105" s="6">
        <f>(Table810[[#This Row],[paccsd]]+Table810[[#This Row],[gaccsd]])/2</f>
        <v>0.4310991045</v>
      </c>
      <c r="O105" s="7">
        <f>Table810[[#This Row],[mrt]]-(Table810[[#This Row],[macc]]*1000)</f>
        <v>1545.2779829999999</v>
      </c>
      <c r="P105" s="9">
        <f>(Table810[[#This Row],[prt]]-Table810[[#This Row],[grt]])</f>
        <v>-19.73913100000027</v>
      </c>
      <c r="Q105" s="8">
        <f>Table810[[#This Row],[pacc]]-Table810[[#This Row],[gacc]]</f>
        <v>0.16651248900000004</v>
      </c>
      <c r="R105" s="8">
        <f>Table810[[#This Row],[rt_pairing_score]]-Table810[[#This Row],[acc_pairing_score]]</f>
        <v>-19.905643489000269</v>
      </c>
    </row>
    <row r="106" spans="1:18" x14ac:dyDescent="0.25">
      <c r="A106" t="s">
        <v>336</v>
      </c>
      <c r="B106" s="1">
        <v>2148.5714290000001</v>
      </c>
      <c r="C106" s="1">
        <v>835.86464709999996</v>
      </c>
      <c r="D106" s="1">
        <v>0.97959183699999997</v>
      </c>
      <c r="E106" s="1">
        <v>0.14285714299999999</v>
      </c>
      <c r="F106" s="1">
        <v>719</v>
      </c>
      <c r="G106" s="1">
        <v>2420</v>
      </c>
      <c r="H106" s="1">
        <v>829.20015290000003</v>
      </c>
      <c r="I106" s="1">
        <v>0.5</v>
      </c>
      <c r="J106" s="1">
        <v>0.50529115300000005</v>
      </c>
      <c r="K106" s="1">
        <f>(B106+Table810[[#This Row],[grt]])/2</f>
        <v>2284.2857144999998</v>
      </c>
      <c r="L106" s="1">
        <f>(Table810[[#This Row],[prtsd]]+Table810[[#This Row],[grtsd]])/2</f>
        <v>832.53240000000005</v>
      </c>
      <c r="M106" s="1">
        <f>(Table810[[#This Row],[pacc]]+Table810[[#This Row],[gacc]])/2</f>
        <v>0.73979591850000004</v>
      </c>
      <c r="N106" s="1">
        <f>(Table810[[#This Row],[paccsd]]+Table810[[#This Row],[gaccsd]])/2</f>
        <v>0.32407414800000001</v>
      </c>
      <c r="O106">
        <f>Table810[[#This Row],[mrt]]-(Table810[[#This Row],[macc]]*1000)</f>
        <v>1544.4897959999998</v>
      </c>
      <c r="P106" s="9">
        <f>(Table810[[#This Row],[prt]]-Table810[[#This Row],[grt]])</f>
        <v>-271.42857099999992</v>
      </c>
      <c r="Q106" s="8">
        <f>Table810[[#This Row],[pacc]]-Table810[[#This Row],[gacc]]</f>
        <v>0.47959183699999997</v>
      </c>
      <c r="R106" s="8">
        <f>Table810[[#This Row],[rt_pairing_score]]-Table810[[#This Row],[acc_pairing_score]]</f>
        <v>-271.90816283699991</v>
      </c>
    </row>
    <row r="107" spans="1:18" x14ac:dyDescent="0.25">
      <c r="A107" t="s">
        <v>213</v>
      </c>
      <c r="B107" s="1">
        <v>2373.0816329999998</v>
      </c>
      <c r="C107" s="1">
        <v>778.39024159999997</v>
      </c>
      <c r="D107" s="1">
        <v>0.918367347</v>
      </c>
      <c r="E107" s="1">
        <v>0.27664166800000001</v>
      </c>
      <c r="F107" s="1">
        <v>705</v>
      </c>
      <c r="G107" s="1">
        <v>2361.6382979999998</v>
      </c>
      <c r="H107" s="1">
        <v>772.43613570000002</v>
      </c>
      <c r="I107" s="1">
        <v>0.72916666699999999</v>
      </c>
      <c r="J107" s="1">
        <v>0.44909285999999998</v>
      </c>
      <c r="K107" s="1">
        <f>(B107+Table810[[#This Row],[grt]])/2</f>
        <v>2367.3599654999998</v>
      </c>
      <c r="L107" s="1">
        <f>(Table810[[#This Row],[prtsd]]+Table810[[#This Row],[grtsd]])/2</f>
        <v>775.41318864999994</v>
      </c>
      <c r="M107" s="1">
        <f>(Table810[[#This Row],[pacc]]+Table810[[#This Row],[gacc]])/2</f>
        <v>0.82376700700000005</v>
      </c>
      <c r="N107" s="1">
        <f>(Table810[[#This Row],[paccsd]]+Table810[[#This Row],[gaccsd]])/2</f>
        <v>0.36286726400000002</v>
      </c>
      <c r="O107">
        <f>Table810[[#This Row],[mrt]]-(Table810[[#This Row],[macc]]*1000)</f>
        <v>1543.5929584999999</v>
      </c>
      <c r="P107" s="9">
        <f>(Table810[[#This Row],[prt]]-Table810[[#This Row],[grt]])</f>
        <v>11.443334999999934</v>
      </c>
      <c r="Q107" s="8">
        <f>Table810[[#This Row],[pacc]]-Table810[[#This Row],[gacc]]</f>
        <v>0.18920068000000001</v>
      </c>
      <c r="R107" s="8">
        <f>Table810[[#This Row],[rt_pairing_score]]-Table810[[#This Row],[acc_pairing_score]]</f>
        <v>11.254134319999933</v>
      </c>
    </row>
    <row r="108" spans="1:18" x14ac:dyDescent="0.25">
      <c r="A108" t="s">
        <v>94</v>
      </c>
      <c r="B108" s="1">
        <v>2349.1702129999999</v>
      </c>
      <c r="C108" s="1">
        <v>803.75332360000004</v>
      </c>
      <c r="D108" s="1">
        <v>0.79591836699999996</v>
      </c>
      <c r="E108" s="1">
        <v>0.40720550900000002</v>
      </c>
      <c r="F108" s="1">
        <v>670</v>
      </c>
      <c r="G108" s="1">
        <v>2343.4893619999998</v>
      </c>
      <c r="H108" s="1">
        <v>794.09182120000003</v>
      </c>
      <c r="I108" s="1">
        <v>0.8125</v>
      </c>
      <c r="J108" s="1">
        <v>0.39444277999999999</v>
      </c>
      <c r="K108" s="1">
        <f>(B108+Table810[[#This Row],[grt]])/2</f>
        <v>2346.3297874999998</v>
      </c>
      <c r="L108" s="1">
        <f>(Table810[[#This Row],[prtsd]]+Table810[[#This Row],[grtsd]])/2</f>
        <v>798.92257240000004</v>
      </c>
      <c r="M108" s="1">
        <f>(Table810[[#This Row],[pacc]]+Table810[[#This Row],[gacc]])/2</f>
        <v>0.80420918350000004</v>
      </c>
      <c r="N108" s="1">
        <f>(Table810[[#This Row],[paccsd]]+Table810[[#This Row],[gaccsd]])/2</f>
        <v>0.40082414450000003</v>
      </c>
      <c r="O108">
        <f>Table810[[#This Row],[mrt]]-(Table810[[#This Row],[macc]]*1000)</f>
        <v>1542.1206039999997</v>
      </c>
      <c r="P108" s="9">
        <f>(Table810[[#This Row],[prt]]-Table810[[#This Row],[grt]])</f>
        <v>5.6808510000000751</v>
      </c>
      <c r="Q108" s="8">
        <f>Table810[[#This Row],[pacc]]-Table810[[#This Row],[gacc]]</f>
        <v>-1.658163300000004E-2</v>
      </c>
      <c r="R108" s="8">
        <f>Table810[[#This Row],[rt_pairing_score]]-Table810[[#This Row],[acc_pairing_score]]</f>
        <v>5.6974326330000755</v>
      </c>
    </row>
    <row r="109" spans="1:18" x14ac:dyDescent="0.25">
      <c r="A109" t="s">
        <v>78</v>
      </c>
      <c r="B109" s="1">
        <v>2382.895833</v>
      </c>
      <c r="C109" s="1">
        <v>751.12718810000001</v>
      </c>
      <c r="D109" s="1">
        <v>0.77083333300000001</v>
      </c>
      <c r="E109" s="1">
        <v>0.424744395</v>
      </c>
      <c r="F109" s="1">
        <v>492</v>
      </c>
      <c r="G109" s="1">
        <v>2395.458333</v>
      </c>
      <c r="H109" s="1">
        <v>756.42833629999996</v>
      </c>
      <c r="I109" s="1">
        <v>0.95833333300000001</v>
      </c>
      <c r="J109" s="1">
        <v>0.20194093699999999</v>
      </c>
      <c r="K109" s="1">
        <f>(B109+Table810[[#This Row],[grt]])/2</f>
        <v>2389.177083</v>
      </c>
      <c r="L109" s="1">
        <f>(Table810[[#This Row],[prtsd]]+Table810[[#This Row],[grtsd]])/2</f>
        <v>753.77776219999998</v>
      </c>
      <c r="M109" s="1">
        <f>(Table810[[#This Row],[pacc]]+Table810[[#This Row],[gacc]])/2</f>
        <v>0.86458333300000001</v>
      </c>
      <c r="N109" s="1">
        <f>(Table810[[#This Row],[paccsd]]+Table810[[#This Row],[gaccsd]])/2</f>
        <v>0.31334266599999999</v>
      </c>
      <c r="O109">
        <f>Table810[[#This Row],[mrt]]-(Table810[[#This Row],[macc]]*1000)</f>
        <v>1524.59375</v>
      </c>
      <c r="P109" s="9">
        <f>(Table810[[#This Row],[prt]]-Table810[[#This Row],[grt]])</f>
        <v>-12.5625</v>
      </c>
      <c r="Q109" s="8">
        <f>Table810[[#This Row],[pacc]]-Table810[[#This Row],[gacc]]</f>
        <v>-0.1875</v>
      </c>
      <c r="R109" s="8">
        <f>Table810[[#This Row],[rt_pairing_score]]-Table810[[#This Row],[acc_pairing_score]]</f>
        <v>-12.375</v>
      </c>
    </row>
    <row r="110" spans="1:18" x14ac:dyDescent="0.25">
      <c r="A110" t="s">
        <v>138</v>
      </c>
      <c r="B110" s="1">
        <v>2331.520833</v>
      </c>
      <c r="C110" s="1">
        <v>817.2727347</v>
      </c>
      <c r="D110" s="1">
        <v>0.86</v>
      </c>
      <c r="E110" s="1">
        <v>0.35050983299999999</v>
      </c>
      <c r="F110" s="1">
        <v>663</v>
      </c>
      <c r="G110" s="1">
        <v>2320.446809</v>
      </c>
      <c r="H110" s="1">
        <v>816.2877479</v>
      </c>
      <c r="I110" s="1">
        <v>0.74468085100000003</v>
      </c>
      <c r="J110" s="1">
        <v>0.44075454600000002</v>
      </c>
      <c r="K110" s="1">
        <f>(B110+Table810[[#This Row],[grt]])/2</f>
        <v>2325.9838209999998</v>
      </c>
      <c r="L110" s="1">
        <f>(Table810[[#This Row],[prtsd]]+Table810[[#This Row],[grtsd]])/2</f>
        <v>816.78024129999994</v>
      </c>
      <c r="M110" s="1">
        <f>(Table810[[#This Row],[pacc]]+Table810[[#This Row],[gacc]])/2</f>
        <v>0.80234042549999995</v>
      </c>
      <c r="N110" s="1">
        <f>(Table810[[#This Row],[paccsd]]+Table810[[#This Row],[gaccsd]])/2</f>
        <v>0.39563218950000001</v>
      </c>
      <c r="O110">
        <f>Table810[[#This Row],[mrt]]-(Table810[[#This Row],[macc]]*1000)</f>
        <v>1523.6433954999998</v>
      </c>
      <c r="P110" s="9">
        <f>(Table810[[#This Row],[prt]]-Table810[[#This Row],[grt]])</f>
        <v>11.074024000000009</v>
      </c>
      <c r="Q110" s="8">
        <f>Table810[[#This Row],[pacc]]-Table810[[#This Row],[gacc]]</f>
        <v>0.11531914899999995</v>
      </c>
      <c r="R110" s="8">
        <f>Table810[[#This Row],[rt_pairing_score]]-Table810[[#This Row],[acc_pairing_score]]</f>
        <v>10.958704851000009</v>
      </c>
    </row>
    <row r="111" spans="1:18" x14ac:dyDescent="0.25">
      <c r="A111" t="s">
        <v>221</v>
      </c>
      <c r="B111" s="1">
        <v>2160.46</v>
      </c>
      <c r="C111" s="1">
        <v>844.75619500000005</v>
      </c>
      <c r="D111" s="1">
        <v>0.92</v>
      </c>
      <c r="E111" s="1">
        <v>0.27404751599999999</v>
      </c>
      <c r="F111" s="1">
        <v>656</v>
      </c>
      <c r="G111" s="1">
        <v>2402.1956519999999</v>
      </c>
      <c r="H111" s="1">
        <v>868.19431050000003</v>
      </c>
      <c r="I111" s="1">
        <v>0.60416666699999999</v>
      </c>
      <c r="J111" s="1">
        <v>0.49420399500000001</v>
      </c>
      <c r="K111" s="1">
        <f>(B111+Table810[[#This Row],[grt]])/2</f>
        <v>2281.3278259999997</v>
      </c>
      <c r="L111" s="1">
        <f>(Table810[[#This Row],[prtsd]]+Table810[[#This Row],[grtsd]])/2</f>
        <v>856.47525274999998</v>
      </c>
      <c r="M111" s="1">
        <f>(Table810[[#This Row],[pacc]]+Table810[[#This Row],[gacc]])/2</f>
        <v>0.76208333350000002</v>
      </c>
      <c r="N111" s="1">
        <f>(Table810[[#This Row],[paccsd]]+Table810[[#This Row],[gaccsd]])/2</f>
        <v>0.3841257555</v>
      </c>
      <c r="O111">
        <f>Table810[[#This Row],[mrt]]-(Table810[[#This Row],[macc]]*1000)</f>
        <v>1519.2444924999998</v>
      </c>
      <c r="P111" s="9">
        <f>(Table810[[#This Row],[prt]]-Table810[[#This Row],[grt]])</f>
        <v>-241.73565199999985</v>
      </c>
      <c r="Q111" s="8">
        <f>Table810[[#This Row],[pacc]]-Table810[[#This Row],[gacc]]</f>
        <v>0.31583333300000005</v>
      </c>
      <c r="R111" s="8">
        <f>Table810[[#This Row],[rt_pairing_score]]-Table810[[#This Row],[acc_pairing_score]]</f>
        <v>-242.05148533299985</v>
      </c>
    </row>
    <row r="112" spans="1:18" x14ac:dyDescent="0.25">
      <c r="A112" t="s">
        <v>186</v>
      </c>
      <c r="B112" s="1">
        <v>2386.86</v>
      </c>
      <c r="C112" s="1">
        <v>779.05431969999995</v>
      </c>
      <c r="D112" s="1">
        <v>0.9</v>
      </c>
      <c r="E112" s="1">
        <v>0.30304576300000002</v>
      </c>
      <c r="F112" s="1">
        <v>571</v>
      </c>
      <c r="G112" s="1">
        <v>2379.0217389999998</v>
      </c>
      <c r="H112" s="1">
        <v>781.26613729999997</v>
      </c>
      <c r="I112" s="1">
        <v>0.83333333300000001</v>
      </c>
      <c r="J112" s="1">
        <v>0.37662178899999998</v>
      </c>
      <c r="K112" s="1">
        <f>(B112+Table810[[#This Row],[grt]])/2</f>
        <v>2382.9408695000002</v>
      </c>
      <c r="L112" s="1">
        <f>(Table810[[#This Row],[prtsd]]+Table810[[#This Row],[grtsd]])/2</f>
        <v>780.1602284999999</v>
      </c>
      <c r="M112" s="1">
        <f>(Table810[[#This Row],[pacc]]+Table810[[#This Row],[gacc]])/2</f>
        <v>0.86666666650000002</v>
      </c>
      <c r="N112" s="1">
        <f>(Table810[[#This Row],[paccsd]]+Table810[[#This Row],[gaccsd]])/2</f>
        <v>0.33983377599999998</v>
      </c>
      <c r="O112">
        <f>Table810[[#This Row],[mrt]]-(Table810[[#This Row],[macc]]*1000)</f>
        <v>1516.2742030000002</v>
      </c>
      <c r="P112" s="9">
        <f>(Table810[[#This Row],[prt]]-Table810[[#This Row],[grt]])</f>
        <v>7.8382610000003297</v>
      </c>
      <c r="Q112" s="8">
        <f>Table810[[#This Row],[pacc]]-Table810[[#This Row],[gacc]]</f>
        <v>6.6666667000000013E-2</v>
      </c>
      <c r="R112" s="8">
        <f>Table810[[#This Row],[rt_pairing_score]]-Table810[[#This Row],[acc_pairing_score]]</f>
        <v>7.7715943330003299</v>
      </c>
    </row>
    <row r="113" spans="1:18" x14ac:dyDescent="0.25">
      <c r="A113" t="s">
        <v>87</v>
      </c>
      <c r="B113" s="1">
        <v>2359.6875</v>
      </c>
      <c r="C113" s="1">
        <v>696.68085910000002</v>
      </c>
      <c r="D113" s="1">
        <v>0.78</v>
      </c>
      <c r="E113" s="1">
        <v>0.41845195800000001</v>
      </c>
      <c r="F113" s="1">
        <v>468</v>
      </c>
      <c r="G113" s="1">
        <v>2366.708333</v>
      </c>
      <c r="H113" s="1">
        <v>693.90228509999997</v>
      </c>
      <c r="I113" s="1">
        <v>0.91666666699999999</v>
      </c>
      <c r="J113" s="1">
        <v>0.27931019400000001</v>
      </c>
      <c r="K113" s="1">
        <f>(B113+Table810[[#This Row],[grt]])/2</f>
        <v>2363.1979165000002</v>
      </c>
      <c r="L113" s="1">
        <f>(Table810[[#This Row],[prtsd]]+Table810[[#This Row],[grtsd]])/2</f>
        <v>695.29157209999994</v>
      </c>
      <c r="M113" s="1">
        <f>(Table810[[#This Row],[pacc]]+Table810[[#This Row],[gacc]])/2</f>
        <v>0.84833333350000006</v>
      </c>
      <c r="N113" s="1">
        <f>(Table810[[#This Row],[paccsd]]+Table810[[#This Row],[gaccsd]])/2</f>
        <v>0.34888107600000001</v>
      </c>
      <c r="O113">
        <f>Table810[[#This Row],[mrt]]-(Table810[[#This Row],[macc]]*1000)</f>
        <v>1514.864583</v>
      </c>
      <c r="P113" s="9">
        <f>(Table810[[#This Row],[prt]]-Table810[[#This Row],[grt]])</f>
        <v>-7.0208330000000387</v>
      </c>
      <c r="Q113" s="8">
        <f>Table810[[#This Row],[pacc]]-Table810[[#This Row],[gacc]]</f>
        <v>-0.13666666699999996</v>
      </c>
      <c r="R113" s="8">
        <f>Table810[[#This Row],[rt_pairing_score]]-Table810[[#This Row],[acc_pairing_score]]</f>
        <v>-6.8841663330000387</v>
      </c>
    </row>
    <row r="114" spans="1:18" x14ac:dyDescent="0.25">
      <c r="A114" t="s">
        <v>111</v>
      </c>
      <c r="B114" s="1">
        <v>2316.083333</v>
      </c>
      <c r="C114" s="1">
        <v>670.95352390000005</v>
      </c>
      <c r="D114" s="1">
        <v>0.82</v>
      </c>
      <c r="E114" s="1">
        <v>0.38808793400000002</v>
      </c>
      <c r="F114" s="1">
        <v>449</v>
      </c>
      <c r="G114" s="1">
        <v>2316.0444440000001</v>
      </c>
      <c r="H114" s="1">
        <v>665.76326519999998</v>
      </c>
      <c r="I114" s="1">
        <v>0.78723404299999999</v>
      </c>
      <c r="J114" s="1">
        <v>0.41368808899999998</v>
      </c>
      <c r="K114" s="1">
        <f>(B114+Table810[[#This Row],[grt]])/2</f>
        <v>2316.0638884999998</v>
      </c>
      <c r="L114" s="1">
        <f>(Table810[[#This Row],[prtsd]]+Table810[[#This Row],[grtsd]])/2</f>
        <v>668.35839454999996</v>
      </c>
      <c r="M114" s="1">
        <f>(Table810[[#This Row],[pacc]]+Table810[[#This Row],[gacc]])/2</f>
        <v>0.80361702150000003</v>
      </c>
      <c r="N114" s="1">
        <f>(Table810[[#This Row],[paccsd]]+Table810[[#This Row],[gaccsd]])/2</f>
        <v>0.40088801149999997</v>
      </c>
      <c r="O114">
        <f>Table810[[#This Row],[mrt]]-(Table810[[#This Row],[macc]]*1000)</f>
        <v>1512.4468669999997</v>
      </c>
      <c r="P114" s="9">
        <f>(Table810[[#This Row],[prt]]-Table810[[#This Row],[grt]])</f>
        <v>3.8888999999926455E-2</v>
      </c>
      <c r="Q114" s="8">
        <f>Table810[[#This Row],[pacc]]-Table810[[#This Row],[gacc]]</f>
        <v>3.2765956999999957E-2</v>
      </c>
      <c r="R114" s="8">
        <f>Table810[[#This Row],[rt_pairing_score]]-Table810[[#This Row],[acc_pairing_score]]</f>
        <v>6.1230429999264979E-3</v>
      </c>
    </row>
    <row r="115" spans="1:18" x14ac:dyDescent="0.25">
      <c r="A115" t="s">
        <v>91</v>
      </c>
      <c r="B115" s="1">
        <v>2308.416667</v>
      </c>
      <c r="C115" s="1">
        <v>776.84752560000004</v>
      </c>
      <c r="D115" s="1">
        <v>0.78</v>
      </c>
      <c r="E115" s="1">
        <v>0.41845195800000001</v>
      </c>
      <c r="F115" s="1">
        <v>251</v>
      </c>
      <c r="G115" s="1">
        <v>2312.4222220000001</v>
      </c>
      <c r="H115" s="1">
        <v>779.67590849999999</v>
      </c>
      <c r="I115" s="1">
        <v>0.82978723399999998</v>
      </c>
      <c r="J115" s="1">
        <v>0.37988264399999999</v>
      </c>
      <c r="K115" s="1">
        <f>(B115+Table810[[#This Row],[grt]])/2</f>
        <v>2310.4194445000003</v>
      </c>
      <c r="L115" s="1">
        <f>(Table810[[#This Row],[prtsd]]+Table810[[#This Row],[grtsd]])/2</f>
        <v>778.26171705000002</v>
      </c>
      <c r="M115" s="1">
        <f>(Table810[[#This Row],[pacc]]+Table810[[#This Row],[gacc]])/2</f>
        <v>0.80489361700000006</v>
      </c>
      <c r="N115" s="1">
        <f>(Table810[[#This Row],[paccsd]]+Table810[[#This Row],[gaccsd]])/2</f>
        <v>0.39916730099999997</v>
      </c>
      <c r="O115">
        <f>Table810[[#This Row],[mrt]]-(Table810[[#This Row],[macc]]*1000)</f>
        <v>1505.5258275000001</v>
      </c>
      <c r="P115" s="9">
        <f>(Table810[[#This Row],[prt]]-Table810[[#This Row],[grt]])</f>
        <v>-4.0055550000001858</v>
      </c>
      <c r="Q115" s="8">
        <f>Table810[[#This Row],[pacc]]-Table810[[#This Row],[gacc]]</f>
        <v>-4.9787233999999958E-2</v>
      </c>
      <c r="R115" s="8">
        <f>Table810[[#This Row],[rt_pairing_score]]-Table810[[#This Row],[acc_pairing_score]]</f>
        <v>-3.9557677660001858</v>
      </c>
    </row>
    <row r="116" spans="1:18" x14ac:dyDescent="0.25">
      <c r="A116" t="s">
        <v>141</v>
      </c>
      <c r="B116" s="1">
        <v>2302.8478260000002</v>
      </c>
      <c r="C116" s="1">
        <v>739.98147029999996</v>
      </c>
      <c r="D116" s="1">
        <v>0.875</v>
      </c>
      <c r="E116" s="1">
        <v>0.33421868199999999</v>
      </c>
      <c r="F116" s="1">
        <v>681</v>
      </c>
      <c r="G116" s="1">
        <v>2301.3191489999999</v>
      </c>
      <c r="H116" s="1">
        <v>741.40319680000005</v>
      </c>
      <c r="I116" s="1">
        <v>0.72916666699999999</v>
      </c>
      <c r="J116" s="1">
        <v>0.44909285999999998</v>
      </c>
      <c r="K116" s="1">
        <f>(B116+Table810[[#This Row],[grt]])/2</f>
        <v>2302.0834875</v>
      </c>
      <c r="L116" s="1">
        <f>(Table810[[#This Row],[prtsd]]+Table810[[#This Row],[grtsd]])/2</f>
        <v>740.69233355000006</v>
      </c>
      <c r="M116" s="1">
        <f>(Table810[[#This Row],[pacc]]+Table810[[#This Row],[gacc]])/2</f>
        <v>0.80208333349999994</v>
      </c>
      <c r="N116" s="1">
        <f>(Table810[[#This Row],[paccsd]]+Table810[[#This Row],[gaccsd]])/2</f>
        <v>0.39165577099999999</v>
      </c>
      <c r="O116">
        <f>Table810[[#This Row],[mrt]]-(Table810[[#This Row],[macc]]*1000)</f>
        <v>1500.0001540000001</v>
      </c>
      <c r="P116" s="9">
        <f>(Table810[[#This Row],[prt]]-Table810[[#This Row],[grt]])</f>
        <v>1.5286770000002434</v>
      </c>
      <c r="Q116" s="8">
        <f>Table810[[#This Row],[pacc]]-Table810[[#This Row],[gacc]]</f>
        <v>0.14583333300000001</v>
      </c>
      <c r="R116" s="8">
        <f>Table810[[#This Row],[rt_pairing_score]]-Table810[[#This Row],[acc_pairing_score]]</f>
        <v>1.3828436670002433</v>
      </c>
    </row>
    <row r="117" spans="1:18" x14ac:dyDescent="0.25">
      <c r="A117" t="s">
        <v>127</v>
      </c>
      <c r="B117" s="1">
        <v>2248.625</v>
      </c>
      <c r="C117" s="1">
        <v>816.71200229999999</v>
      </c>
      <c r="D117" s="1">
        <v>0.84</v>
      </c>
      <c r="E117" s="1">
        <v>0.37032804000000002</v>
      </c>
      <c r="F117" s="1">
        <v>181</v>
      </c>
      <c r="G117" s="1">
        <v>2361.791667</v>
      </c>
      <c r="H117" s="1">
        <v>820.23618699999997</v>
      </c>
      <c r="I117" s="1">
        <v>0.77083333300000001</v>
      </c>
      <c r="J117" s="1">
        <v>0.424744395</v>
      </c>
      <c r="K117" s="1">
        <f>(B117+Table810[[#This Row],[grt]])/2</f>
        <v>2305.2083334999998</v>
      </c>
      <c r="L117" s="1">
        <f>(Table810[[#This Row],[prtsd]]+Table810[[#This Row],[grtsd]])/2</f>
        <v>818.47409464999998</v>
      </c>
      <c r="M117" s="1">
        <f>(Table810[[#This Row],[pacc]]+Table810[[#This Row],[gacc]])/2</f>
        <v>0.80541666649999999</v>
      </c>
      <c r="N117" s="1">
        <f>(Table810[[#This Row],[paccsd]]+Table810[[#This Row],[gaccsd]])/2</f>
        <v>0.39753621750000001</v>
      </c>
      <c r="O117">
        <f>Table810[[#This Row],[mrt]]-(Table810[[#This Row],[macc]]*1000)</f>
        <v>1499.7916669999997</v>
      </c>
      <c r="P117" s="9">
        <f>(Table810[[#This Row],[prt]]-Table810[[#This Row],[grt]])</f>
        <v>-113.16666699999996</v>
      </c>
      <c r="Q117" s="8">
        <f>Table810[[#This Row],[pacc]]-Table810[[#This Row],[gacc]]</f>
        <v>6.9166666999999959E-2</v>
      </c>
      <c r="R117" s="8">
        <f>Table810[[#This Row],[rt_pairing_score]]-Table810[[#This Row],[acc_pairing_score]]</f>
        <v>-113.23583366699997</v>
      </c>
    </row>
    <row r="118" spans="1:18" x14ac:dyDescent="0.25">
      <c r="A118" t="s">
        <v>93</v>
      </c>
      <c r="B118" s="1">
        <v>2238.6808510000001</v>
      </c>
      <c r="C118" s="1">
        <v>857.01496880000002</v>
      </c>
      <c r="D118" s="1">
        <v>0.79591836699999996</v>
      </c>
      <c r="E118" s="1">
        <v>0.40720550900000002</v>
      </c>
      <c r="F118" s="1">
        <v>443</v>
      </c>
      <c r="G118" s="1">
        <v>2344.0638300000001</v>
      </c>
      <c r="H118" s="1">
        <v>864.66073779999999</v>
      </c>
      <c r="I118" s="1">
        <v>0.79166666699999999</v>
      </c>
      <c r="J118" s="1">
        <v>0.41041407899999999</v>
      </c>
      <c r="K118" s="1">
        <f>(B118+Table810[[#This Row],[grt]])/2</f>
        <v>2291.3723405000001</v>
      </c>
      <c r="L118" s="1">
        <f>(Table810[[#This Row],[prtsd]]+Table810[[#This Row],[grtsd]])/2</f>
        <v>860.83785330000001</v>
      </c>
      <c r="M118" s="1">
        <f>(Table810[[#This Row],[pacc]]+Table810[[#This Row],[gacc]])/2</f>
        <v>0.79379251699999998</v>
      </c>
      <c r="N118" s="1">
        <f>(Table810[[#This Row],[paccsd]]+Table810[[#This Row],[gaccsd]])/2</f>
        <v>0.408809794</v>
      </c>
      <c r="O118">
        <f>Table810[[#This Row],[mrt]]-(Table810[[#This Row],[macc]]*1000)</f>
        <v>1497.5798235000002</v>
      </c>
      <c r="P118" s="9">
        <f>(Table810[[#This Row],[prt]]-Table810[[#This Row],[grt]])</f>
        <v>-105.38297899999998</v>
      </c>
      <c r="Q118" s="8">
        <f>Table810[[#This Row],[pacc]]-Table810[[#This Row],[gacc]]</f>
        <v>4.2516999999999694E-3</v>
      </c>
      <c r="R118" s="8">
        <f>Table810[[#This Row],[rt_pairing_score]]-Table810[[#This Row],[acc_pairing_score]]</f>
        <v>-105.38723069999998</v>
      </c>
    </row>
    <row r="119" spans="1:18" x14ac:dyDescent="0.25">
      <c r="A119" t="s">
        <v>263</v>
      </c>
      <c r="B119" s="1">
        <v>2372.8979589999999</v>
      </c>
      <c r="C119" s="1">
        <v>741.27093130000003</v>
      </c>
      <c r="D119" s="1">
        <v>0.94</v>
      </c>
      <c r="E119" s="1">
        <v>0.23989793700000001</v>
      </c>
      <c r="F119" s="1">
        <v>430</v>
      </c>
      <c r="G119" s="1">
        <v>2364.7021279999999</v>
      </c>
      <c r="H119" s="1">
        <v>738.11442839999995</v>
      </c>
      <c r="I119" s="1">
        <v>0.808510638</v>
      </c>
      <c r="J119" s="1">
        <v>0.39772712300000002</v>
      </c>
      <c r="K119" s="1">
        <f>(B119+Table810[[#This Row],[grt]])/2</f>
        <v>2368.8000434999999</v>
      </c>
      <c r="L119" s="1">
        <f>(Table810[[#This Row],[prtsd]]+Table810[[#This Row],[grtsd]])/2</f>
        <v>739.69267984999999</v>
      </c>
      <c r="M119" s="1">
        <f>(Table810[[#This Row],[pacc]]+Table810[[#This Row],[gacc]])/2</f>
        <v>0.87425531899999998</v>
      </c>
      <c r="N119" s="1">
        <f>(Table810[[#This Row],[paccsd]]+Table810[[#This Row],[gaccsd]])/2</f>
        <v>0.31881252999999998</v>
      </c>
      <c r="O119">
        <f>Table810[[#This Row],[mrt]]-(Table810[[#This Row],[macc]]*1000)</f>
        <v>1494.5447245</v>
      </c>
      <c r="P119" s="9">
        <f>(Table810[[#This Row],[prt]]-Table810[[#This Row],[grt]])</f>
        <v>8.1958309999999983</v>
      </c>
      <c r="Q119" s="8">
        <f>Table810[[#This Row],[pacc]]-Table810[[#This Row],[gacc]]</f>
        <v>0.13148936199999994</v>
      </c>
      <c r="R119" s="8">
        <f>Table810[[#This Row],[rt_pairing_score]]-Table810[[#This Row],[acc_pairing_score]]</f>
        <v>8.0643416379999984</v>
      </c>
    </row>
    <row r="120" spans="1:18" x14ac:dyDescent="0.25">
      <c r="A120" t="s">
        <v>191</v>
      </c>
      <c r="B120" s="1">
        <v>2126</v>
      </c>
      <c r="C120" s="1">
        <v>851.85252439999999</v>
      </c>
      <c r="D120" s="1">
        <v>0.9</v>
      </c>
      <c r="E120" s="1">
        <v>0.30304576300000002</v>
      </c>
      <c r="F120" s="1">
        <v>674</v>
      </c>
      <c r="G120" s="1">
        <v>2430.7234039999998</v>
      </c>
      <c r="H120" s="1">
        <v>836.17131340000003</v>
      </c>
      <c r="I120" s="1">
        <v>0.68085106399999995</v>
      </c>
      <c r="J120" s="1">
        <v>0.47118642900000002</v>
      </c>
      <c r="K120" s="1">
        <f>(B120+Table810[[#This Row],[grt]])/2</f>
        <v>2278.3617020000002</v>
      </c>
      <c r="L120" s="1">
        <f>(Table810[[#This Row],[prtsd]]+Table810[[#This Row],[grtsd]])/2</f>
        <v>844.01191889999996</v>
      </c>
      <c r="M120" s="1">
        <f>(Table810[[#This Row],[pacc]]+Table810[[#This Row],[gacc]])/2</f>
        <v>0.79042553199999999</v>
      </c>
      <c r="N120" s="1">
        <f>(Table810[[#This Row],[paccsd]]+Table810[[#This Row],[gaccsd]])/2</f>
        <v>0.38711609600000002</v>
      </c>
      <c r="O120">
        <f>Table810[[#This Row],[mrt]]-(Table810[[#This Row],[macc]]*1000)</f>
        <v>1487.9361700000002</v>
      </c>
      <c r="P120" s="9">
        <f>(Table810[[#This Row],[prt]]-Table810[[#This Row],[grt]])</f>
        <v>-304.72340399999985</v>
      </c>
      <c r="Q120" s="8">
        <f>Table810[[#This Row],[pacc]]-Table810[[#This Row],[gacc]]</f>
        <v>0.21914893600000007</v>
      </c>
      <c r="R120" s="8">
        <f>Table810[[#This Row],[rt_pairing_score]]-Table810[[#This Row],[acc_pairing_score]]</f>
        <v>-304.94255293599986</v>
      </c>
    </row>
    <row r="121" spans="1:18" x14ac:dyDescent="0.25">
      <c r="A121" t="s">
        <v>114</v>
      </c>
      <c r="B121" s="1">
        <v>2307.5918369999999</v>
      </c>
      <c r="C121" s="1">
        <v>796.71321999999998</v>
      </c>
      <c r="D121" s="1">
        <v>0.82</v>
      </c>
      <c r="E121" s="1">
        <v>0.38808793400000002</v>
      </c>
      <c r="F121" s="1">
        <v>194</v>
      </c>
      <c r="G121" s="1">
        <v>2344.2553189999999</v>
      </c>
      <c r="H121" s="1">
        <v>784.28642360000003</v>
      </c>
      <c r="I121" s="1">
        <v>0.87234042599999995</v>
      </c>
      <c r="J121" s="1">
        <v>0.33731814900000001</v>
      </c>
      <c r="K121" s="1">
        <f>(B121+Table810[[#This Row],[grt]])/2</f>
        <v>2325.9235779999999</v>
      </c>
      <c r="L121" s="1">
        <f>(Table810[[#This Row],[prtsd]]+Table810[[#This Row],[grtsd]])/2</f>
        <v>790.49982180000006</v>
      </c>
      <c r="M121" s="1">
        <f>(Table810[[#This Row],[pacc]]+Table810[[#This Row],[gacc]])/2</f>
        <v>0.84617021299999995</v>
      </c>
      <c r="N121" s="1">
        <f>(Table810[[#This Row],[paccsd]]+Table810[[#This Row],[gaccsd]])/2</f>
        <v>0.36270304149999999</v>
      </c>
      <c r="O121">
        <f>Table810[[#This Row],[mrt]]-(Table810[[#This Row],[macc]]*1000)</f>
        <v>1479.753365</v>
      </c>
      <c r="P121" s="9">
        <f>(Table810[[#This Row],[prt]]-Table810[[#This Row],[grt]])</f>
        <v>-36.663481999999931</v>
      </c>
      <c r="Q121" s="8">
        <f>Table810[[#This Row],[pacc]]-Table810[[#This Row],[gacc]]</f>
        <v>-5.2340425999999995E-2</v>
      </c>
      <c r="R121" s="8">
        <f>Table810[[#This Row],[rt_pairing_score]]-Table810[[#This Row],[acc_pairing_score]]</f>
        <v>-36.61114157399993</v>
      </c>
    </row>
    <row r="122" spans="1:18" x14ac:dyDescent="0.25">
      <c r="A122" t="s">
        <v>136</v>
      </c>
      <c r="B122" s="1">
        <v>2199.0625</v>
      </c>
      <c r="C122" s="1">
        <v>846.31919949999997</v>
      </c>
      <c r="D122" s="1">
        <v>0.85714285700000004</v>
      </c>
      <c r="E122" s="1">
        <v>0.35355339099999999</v>
      </c>
      <c r="F122" s="1">
        <v>448</v>
      </c>
      <c r="G122" s="1">
        <v>2387.227273</v>
      </c>
      <c r="H122" s="1">
        <v>858.75734620000003</v>
      </c>
      <c r="I122" s="1">
        <v>0.77083333300000001</v>
      </c>
      <c r="J122" s="1">
        <v>0.424744395</v>
      </c>
      <c r="K122" s="1">
        <f>(B122+Table810[[#This Row],[grt]])/2</f>
        <v>2293.1448865000002</v>
      </c>
      <c r="L122" s="1">
        <f>(Table810[[#This Row],[prtsd]]+Table810[[#This Row],[grtsd]])/2</f>
        <v>852.53827285</v>
      </c>
      <c r="M122" s="1">
        <f>(Table810[[#This Row],[pacc]]+Table810[[#This Row],[gacc]])/2</f>
        <v>0.81398809500000002</v>
      </c>
      <c r="N122" s="1">
        <f>(Table810[[#This Row],[paccsd]]+Table810[[#This Row],[gaccsd]])/2</f>
        <v>0.389148893</v>
      </c>
      <c r="O122">
        <f>Table810[[#This Row],[mrt]]-(Table810[[#This Row],[macc]]*1000)</f>
        <v>1479.1567915000001</v>
      </c>
      <c r="P122" s="9">
        <f>(Table810[[#This Row],[prt]]-Table810[[#This Row],[grt]])</f>
        <v>-188.16477299999997</v>
      </c>
      <c r="Q122" s="8">
        <f>Table810[[#This Row],[pacc]]-Table810[[#This Row],[gacc]]</f>
        <v>8.6309524000000026E-2</v>
      </c>
      <c r="R122" s="8">
        <f>Table810[[#This Row],[rt_pairing_score]]-Table810[[#This Row],[acc_pairing_score]]</f>
        <v>-188.25108252399997</v>
      </c>
    </row>
    <row r="123" spans="1:18" x14ac:dyDescent="0.25">
      <c r="A123" t="s">
        <v>168</v>
      </c>
      <c r="B123" s="1">
        <v>2341</v>
      </c>
      <c r="C123" s="1">
        <v>837.8570436</v>
      </c>
      <c r="D123" s="1">
        <v>0.89795918399999997</v>
      </c>
      <c r="E123" s="1">
        <v>0.30583887100000001</v>
      </c>
      <c r="F123" s="1">
        <v>297</v>
      </c>
      <c r="G123" s="1">
        <v>2313.8723399999999</v>
      </c>
      <c r="H123" s="1">
        <v>821.92043460000002</v>
      </c>
      <c r="I123" s="1">
        <v>0.8125</v>
      </c>
      <c r="J123" s="1">
        <v>0.39444277999999999</v>
      </c>
      <c r="K123" s="1">
        <f>(B123+Table810[[#This Row],[grt]])/2</f>
        <v>2327.4361699999999</v>
      </c>
      <c r="L123" s="1">
        <f>(Table810[[#This Row],[prtsd]]+Table810[[#This Row],[grtsd]])/2</f>
        <v>829.88873910000007</v>
      </c>
      <c r="M123" s="1">
        <f>(Table810[[#This Row],[pacc]]+Table810[[#This Row],[gacc]])/2</f>
        <v>0.85522959199999993</v>
      </c>
      <c r="N123" s="1">
        <f>(Table810[[#This Row],[paccsd]]+Table810[[#This Row],[gaccsd]])/2</f>
        <v>0.35014082550000003</v>
      </c>
      <c r="O123">
        <f>Table810[[#This Row],[mrt]]-(Table810[[#This Row],[macc]]*1000)</f>
        <v>1472.206578</v>
      </c>
      <c r="P123" s="9">
        <f>(Table810[[#This Row],[prt]]-Table810[[#This Row],[grt]])</f>
        <v>27.127660000000105</v>
      </c>
      <c r="Q123" s="8">
        <f>Table810[[#This Row],[pacc]]-Table810[[#This Row],[gacc]]</f>
        <v>8.5459183999999966E-2</v>
      </c>
      <c r="R123" s="8">
        <f>Table810[[#This Row],[rt_pairing_score]]-Table810[[#This Row],[acc_pairing_score]]</f>
        <v>27.042200816000104</v>
      </c>
    </row>
    <row r="124" spans="1:18" x14ac:dyDescent="0.25">
      <c r="A124" t="s">
        <v>119</v>
      </c>
      <c r="B124" s="1">
        <v>2302.4042549999999</v>
      </c>
      <c r="C124" s="1">
        <v>816.14296109999998</v>
      </c>
      <c r="D124" s="1">
        <v>0.83333333300000001</v>
      </c>
      <c r="E124" s="1">
        <v>0.37662178899999998</v>
      </c>
      <c r="F124" s="1">
        <v>44</v>
      </c>
      <c r="G124" s="1">
        <v>2285.979167</v>
      </c>
      <c r="H124" s="1">
        <v>813.91030109999997</v>
      </c>
      <c r="I124" s="1">
        <v>0.8125</v>
      </c>
      <c r="J124" s="1">
        <v>0.39444277999999999</v>
      </c>
      <c r="K124" s="1">
        <f>(B124+Table810[[#This Row],[grt]])/2</f>
        <v>2294.1917109999999</v>
      </c>
      <c r="L124" s="1">
        <f>(Table810[[#This Row],[prtsd]]+Table810[[#This Row],[grtsd]])/2</f>
        <v>815.02663110000003</v>
      </c>
      <c r="M124" s="1">
        <f>(Table810[[#This Row],[pacc]]+Table810[[#This Row],[gacc]])/2</f>
        <v>0.82291666650000006</v>
      </c>
      <c r="N124" s="1">
        <f>(Table810[[#This Row],[paccsd]]+Table810[[#This Row],[gaccsd]])/2</f>
        <v>0.38553228449999999</v>
      </c>
      <c r="O124">
        <f>Table810[[#This Row],[mrt]]-(Table810[[#This Row],[macc]]*1000)</f>
        <v>1471.2750444999999</v>
      </c>
      <c r="P124" s="9">
        <f>(Table810[[#This Row],[prt]]-Table810[[#This Row],[grt]])</f>
        <v>16.42508799999996</v>
      </c>
      <c r="Q124" s="8">
        <f>Table810[[#This Row],[pacc]]-Table810[[#This Row],[gacc]]</f>
        <v>2.0833333000000009E-2</v>
      </c>
      <c r="R124" s="8">
        <f>Table810[[#This Row],[rt_pairing_score]]-Table810[[#This Row],[acc_pairing_score]]</f>
        <v>16.404254666999961</v>
      </c>
    </row>
    <row r="125" spans="1:18" x14ac:dyDescent="0.25">
      <c r="A125" t="s">
        <v>115</v>
      </c>
      <c r="B125" s="1">
        <v>2325.479167</v>
      </c>
      <c r="C125" s="1">
        <v>741.88316989999998</v>
      </c>
      <c r="D125" s="1">
        <v>0.82</v>
      </c>
      <c r="E125" s="1">
        <v>0.38808793400000002</v>
      </c>
      <c r="F125" s="1">
        <v>22</v>
      </c>
      <c r="G125" s="1">
        <v>2313.2666669999999</v>
      </c>
      <c r="H125" s="1">
        <v>743.23761649999994</v>
      </c>
      <c r="I125" s="1">
        <v>0.89361702099999996</v>
      </c>
      <c r="J125" s="1">
        <v>0.31166052799999999</v>
      </c>
      <c r="K125" s="1">
        <f>(B125+Table810[[#This Row],[grt]])/2</f>
        <v>2319.3729169999997</v>
      </c>
      <c r="L125" s="1">
        <f>(Table810[[#This Row],[prtsd]]+Table810[[#This Row],[grtsd]])/2</f>
        <v>742.56039319999991</v>
      </c>
      <c r="M125" s="1">
        <f>(Table810[[#This Row],[pacc]]+Table810[[#This Row],[gacc]])/2</f>
        <v>0.85680851049999995</v>
      </c>
      <c r="N125" s="1">
        <f>(Table810[[#This Row],[paccsd]]+Table810[[#This Row],[gaccsd]])/2</f>
        <v>0.34987423100000004</v>
      </c>
      <c r="O125">
        <f>Table810[[#This Row],[mrt]]-(Table810[[#This Row],[macc]]*1000)</f>
        <v>1462.5644064999997</v>
      </c>
      <c r="P125" s="9">
        <f>(Table810[[#This Row],[prt]]-Table810[[#This Row],[grt]])</f>
        <v>12.212500000000091</v>
      </c>
      <c r="Q125" s="8">
        <f>Table810[[#This Row],[pacc]]-Table810[[#This Row],[gacc]]</f>
        <v>-7.3617021000000005E-2</v>
      </c>
      <c r="R125" s="8">
        <f>Table810[[#This Row],[rt_pairing_score]]-Table810[[#This Row],[acc_pairing_score]]</f>
        <v>12.286117021000091</v>
      </c>
    </row>
    <row r="126" spans="1:18" x14ac:dyDescent="0.25">
      <c r="A126" t="s">
        <v>75</v>
      </c>
      <c r="B126" s="1">
        <v>2228.458333</v>
      </c>
      <c r="C126" s="1">
        <v>777.14140550000002</v>
      </c>
      <c r="D126" s="1">
        <v>0.755102041</v>
      </c>
      <c r="E126" s="1">
        <v>0.43448303799999999</v>
      </c>
      <c r="F126" s="1">
        <v>694</v>
      </c>
      <c r="G126" s="1">
        <v>2298.3478260000002</v>
      </c>
      <c r="H126" s="1">
        <v>775.3323077</v>
      </c>
      <c r="I126" s="1">
        <v>0.84782608699999995</v>
      </c>
      <c r="J126" s="1">
        <v>0.363158447</v>
      </c>
      <c r="K126" s="1">
        <f>(B126+Table810[[#This Row],[grt]])/2</f>
        <v>2263.4030794999999</v>
      </c>
      <c r="L126" s="1">
        <f>(Table810[[#This Row],[prtsd]]+Table810[[#This Row],[grtsd]])/2</f>
        <v>776.23685660000001</v>
      </c>
      <c r="M126" s="1">
        <f>(Table810[[#This Row],[pacc]]+Table810[[#This Row],[gacc]])/2</f>
        <v>0.80146406399999992</v>
      </c>
      <c r="N126" s="1">
        <f>(Table810[[#This Row],[paccsd]]+Table810[[#This Row],[gaccsd]])/2</f>
        <v>0.39882074249999999</v>
      </c>
      <c r="O126">
        <f>Table810[[#This Row],[mrt]]-(Table810[[#This Row],[macc]]*1000)</f>
        <v>1461.9390155000001</v>
      </c>
      <c r="P126" s="9">
        <f>(Table810[[#This Row],[prt]]-Table810[[#This Row],[grt]])</f>
        <v>-69.88949300000013</v>
      </c>
      <c r="Q126" s="8">
        <f>Table810[[#This Row],[pacc]]-Table810[[#This Row],[gacc]]</f>
        <v>-9.2724045999999949E-2</v>
      </c>
      <c r="R126" s="8">
        <f>Table810[[#This Row],[rt_pairing_score]]-Table810[[#This Row],[acc_pairing_score]]</f>
        <v>-69.796768954000129</v>
      </c>
    </row>
    <row r="127" spans="1:18" x14ac:dyDescent="0.25">
      <c r="A127" t="s">
        <v>89</v>
      </c>
      <c r="B127" s="1">
        <v>2273.7600000000002</v>
      </c>
      <c r="C127" s="1">
        <v>682.65321400000005</v>
      </c>
      <c r="D127" s="1">
        <v>0.78</v>
      </c>
      <c r="E127" s="1">
        <v>0.41845195800000001</v>
      </c>
      <c r="F127" s="1">
        <v>486</v>
      </c>
      <c r="G127" s="1">
        <v>2292.617021</v>
      </c>
      <c r="H127" s="1">
        <v>673.08516010000005</v>
      </c>
      <c r="I127" s="1">
        <v>0.875</v>
      </c>
      <c r="J127" s="1">
        <v>0.33421868199999999</v>
      </c>
      <c r="K127" s="1">
        <f>(B127+Table810[[#This Row],[grt]])/2</f>
        <v>2283.1885105000001</v>
      </c>
      <c r="L127" s="1">
        <f>(Table810[[#This Row],[prtsd]]+Table810[[#This Row],[grtsd]])/2</f>
        <v>677.86918705000005</v>
      </c>
      <c r="M127" s="1">
        <f>(Table810[[#This Row],[pacc]]+Table810[[#This Row],[gacc]])/2</f>
        <v>0.82750000000000001</v>
      </c>
      <c r="N127" s="1">
        <f>(Table810[[#This Row],[paccsd]]+Table810[[#This Row],[gaccsd]])/2</f>
        <v>0.37633532000000003</v>
      </c>
      <c r="O127">
        <f>Table810[[#This Row],[mrt]]-(Table810[[#This Row],[macc]]*1000)</f>
        <v>1455.6885105000001</v>
      </c>
      <c r="P127" s="9">
        <f>(Table810[[#This Row],[prt]]-Table810[[#This Row],[grt]])</f>
        <v>-18.857020999999804</v>
      </c>
      <c r="Q127" s="8">
        <f>Table810[[#This Row],[pacc]]-Table810[[#This Row],[gacc]]</f>
        <v>-9.4999999999999973E-2</v>
      </c>
      <c r="R127" s="8">
        <f>Table810[[#This Row],[rt_pairing_score]]-Table810[[#This Row],[acc_pairing_score]]</f>
        <v>-18.762020999999805</v>
      </c>
    </row>
    <row r="128" spans="1:18" x14ac:dyDescent="0.25">
      <c r="A128" t="s">
        <v>99</v>
      </c>
      <c r="B128" s="1">
        <v>2288.693878</v>
      </c>
      <c r="C128" s="1">
        <v>723.69950040000003</v>
      </c>
      <c r="D128" s="1">
        <v>0.79591836699999996</v>
      </c>
      <c r="E128" s="1">
        <v>0.40720550900000002</v>
      </c>
      <c r="F128" s="1">
        <v>204</v>
      </c>
      <c r="G128" s="1">
        <v>2295</v>
      </c>
      <c r="H128" s="1">
        <v>726.93744119999997</v>
      </c>
      <c r="I128" s="1">
        <v>0.89583333300000001</v>
      </c>
      <c r="J128" s="1">
        <v>0.30870927799999998</v>
      </c>
      <c r="K128" s="1">
        <f>(B128+Table810[[#This Row],[grt]])/2</f>
        <v>2291.846939</v>
      </c>
      <c r="L128" s="1">
        <f>(Table810[[#This Row],[prtsd]]+Table810[[#This Row],[grtsd]])/2</f>
        <v>725.3184708</v>
      </c>
      <c r="M128" s="1">
        <f>(Table810[[#This Row],[pacc]]+Table810[[#This Row],[gacc]])/2</f>
        <v>0.84587584999999998</v>
      </c>
      <c r="N128" s="1">
        <f>(Table810[[#This Row],[paccsd]]+Table810[[#This Row],[gaccsd]])/2</f>
        <v>0.3579573935</v>
      </c>
      <c r="O128">
        <f>Table810[[#This Row],[mrt]]-(Table810[[#This Row],[macc]]*1000)</f>
        <v>1445.9710890000001</v>
      </c>
      <c r="P128" s="9">
        <f>(Table810[[#This Row],[prt]]-Table810[[#This Row],[grt]])</f>
        <v>-6.3061219999999594</v>
      </c>
      <c r="Q128" s="8">
        <f>Table810[[#This Row],[pacc]]-Table810[[#This Row],[gacc]]</f>
        <v>-9.9914966000000049E-2</v>
      </c>
      <c r="R128" s="8">
        <f>Table810[[#This Row],[rt_pairing_score]]-Table810[[#This Row],[acc_pairing_score]]</f>
        <v>-6.2062070339999593</v>
      </c>
    </row>
    <row r="129" spans="1:18" x14ac:dyDescent="0.25">
      <c r="A129" t="s">
        <v>125</v>
      </c>
      <c r="B129" s="1">
        <v>2334.458333</v>
      </c>
      <c r="C129" s="1">
        <v>855.29437410000003</v>
      </c>
      <c r="D129" s="1">
        <v>0.836734694</v>
      </c>
      <c r="E129" s="1">
        <v>0.37343778900000002</v>
      </c>
      <c r="F129" s="1">
        <v>718</v>
      </c>
      <c r="G129" s="1">
        <v>2327.8723399999999</v>
      </c>
      <c r="H129" s="1">
        <v>851.0676062</v>
      </c>
      <c r="I129" s="1">
        <v>0.9375</v>
      </c>
      <c r="J129" s="1">
        <v>0.24462302699999999</v>
      </c>
      <c r="K129" s="1">
        <f>(B129+Table810[[#This Row],[grt]])/2</f>
        <v>2331.1653365000002</v>
      </c>
      <c r="L129" s="1">
        <f>(Table810[[#This Row],[prtsd]]+Table810[[#This Row],[grtsd]])/2</f>
        <v>853.18099015000007</v>
      </c>
      <c r="M129" s="1">
        <f>(Table810[[#This Row],[pacc]]+Table810[[#This Row],[gacc]])/2</f>
        <v>0.887117347</v>
      </c>
      <c r="N129" s="1">
        <f>(Table810[[#This Row],[paccsd]]+Table810[[#This Row],[gaccsd]])/2</f>
        <v>0.30903040800000003</v>
      </c>
      <c r="O129">
        <f>Table810[[#This Row],[mrt]]-(Table810[[#This Row],[macc]]*1000)</f>
        <v>1444.0479895000003</v>
      </c>
      <c r="P129" s="9">
        <f>(Table810[[#This Row],[prt]]-Table810[[#This Row],[grt]])</f>
        <v>6.5859930000001441</v>
      </c>
      <c r="Q129" s="8">
        <f>Table810[[#This Row],[pacc]]-Table810[[#This Row],[gacc]]</f>
        <v>-0.100765306</v>
      </c>
      <c r="R129" s="8">
        <f>Table810[[#This Row],[rt_pairing_score]]-Table810[[#This Row],[acc_pairing_score]]</f>
        <v>6.6867583060001436</v>
      </c>
    </row>
    <row r="130" spans="1:18" x14ac:dyDescent="0.25">
      <c r="A130" t="s">
        <v>182</v>
      </c>
      <c r="B130" s="1">
        <v>2207.666667</v>
      </c>
      <c r="C130" s="1">
        <v>823.48691250000002</v>
      </c>
      <c r="D130" s="1">
        <v>0.9</v>
      </c>
      <c r="E130" s="1">
        <v>0.30304576300000002</v>
      </c>
      <c r="F130" s="1">
        <v>716</v>
      </c>
      <c r="G130" s="1">
        <v>2392.5333329999999</v>
      </c>
      <c r="H130" s="1">
        <v>812.78786790000004</v>
      </c>
      <c r="I130" s="1">
        <v>0.82978723399999998</v>
      </c>
      <c r="J130" s="1">
        <v>0.37988264399999999</v>
      </c>
      <c r="K130" s="1">
        <f>(B130+Table810[[#This Row],[grt]])/2</f>
        <v>2300.1</v>
      </c>
      <c r="L130" s="1">
        <f>(Table810[[#This Row],[prtsd]]+Table810[[#This Row],[grtsd]])/2</f>
        <v>818.13739020000003</v>
      </c>
      <c r="M130" s="1">
        <f>(Table810[[#This Row],[pacc]]+Table810[[#This Row],[gacc]])/2</f>
        <v>0.864893617</v>
      </c>
      <c r="N130" s="1">
        <f>(Table810[[#This Row],[paccsd]]+Table810[[#This Row],[gaccsd]])/2</f>
        <v>0.34146420350000001</v>
      </c>
      <c r="O130">
        <f>Table810[[#This Row],[mrt]]-(Table810[[#This Row],[macc]]*1000)</f>
        <v>1435.206383</v>
      </c>
      <c r="P130" s="9">
        <f>(Table810[[#This Row],[prt]]-Table810[[#This Row],[grt]])</f>
        <v>-184.8666659999999</v>
      </c>
      <c r="Q130" s="8">
        <f>Table810[[#This Row],[pacc]]-Table810[[#This Row],[gacc]]</f>
        <v>7.0212766000000038E-2</v>
      </c>
      <c r="R130" s="8">
        <f>Table810[[#This Row],[rt_pairing_score]]-Table810[[#This Row],[acc_pairing_score]]</f>
        <v>-184.93687876599989</v>
      </c>
    </row>
    <row r="131" spans="1:18" x14ac:dyDescent="0.25">
      <c r="A131" t="s">
        <v>341</v>
      </c>
      <c r="B131" s="1">
        <v>2317.4897959999998</v>
      </c>
      <c r="C131" s="1">
        <v>846.05191239999999</v>
      </c>
      <c r="D131" s="1">
        <v>0.97959183699999997</v>
      </c>
      <c r="E131" s="1">
        <v>0.14285714299999999</v>
      </c>
      <c r="F131" s="1">
        <v>205</v>
      </c>
      <c r="G131" s="1">
        <v>2316.7391299999999</v>
      </c>
      <c r="H131" s="1">
        <v>851.98381400000005</v>
      </c>
      <c r="I131" s="1">
        <v>0.79166666699999999</v>
      </c>
      <c r="J131" s="1">
        <v>0.41041407899999999</v>
      </c>
      <c r="K131" s="1">
        <f>(B131+Table810[[#This Row],[grt]])/2</f>
        <v>2317.1144629999999</v>
      </c>
      <c r="L131" s="1">
        <f>(Table810[[#This Row],[prtsd]]+Table810[[#This Row],[grtsd]])/2</f>
        <v>849.01786319999997</v>
      </c>
      <c r="M131" s="1">
        <f>(Table810[[#This Row],[pacc]]+Table810[[#This Row],[gacc]])/2</f>
        <v>0.88562925199999998</v>
      </c>
      <c r="N131" s="1">
        <f>(Table810[[#This Row],[paccsd]]+Table810[[#This Row],[gaccsd]])/2</f>
        <v>0.276635611</v>
      </c>
      <c r="O131">
        <f>Table810[[#This Row],[mrt]]-(Table810[[#This Row],[macc]]*1000)</f>
        <v>1431.4852109999999</v>
      </c>
      <c r="P131" s="9">
        <f>(Table810[[#This Row],[prt]]-Table810[[#This Row],[grt]])</f>
        <v>0.75066599999991013</v>
      </c>
      <c r="Q131" s="8">
        <f>Table810[[#This Row],[pacc]]-Table810[[#This Row],[gacc]]</f>
        <v>0.18792516999999997</v>
      </c>
      <c r="R131" s="8">
        <f>Table810[[#This Row],[rt_pairing_score]]-Table810[[#This Row],[acc_pairing_score]]</f>
        <v>0.56274082999991015</v>
      </c>
    </row>
    <row r="132" spans="1:18" x14ac:dyDescent="0.25">
      <c r="A132" t="s">
        <v>179</v>
      </c>
      <c r="B132" s="1">
        <v>2201.5652169999998</v>
      </c>
      <c r="C132" s="1">
        <v>798.21928630000002</v>
      </c>
      <c r="D132" s="1">
        <v>0.89795918399999997</v>
      </c>
      <c r="E132" s="1">
        <v>0.30583887100000001</v>
      </c>
      <c r="F132" s="1">
        <v>673</v>
      </c>
      <c r="G132" s="1">
        <v>2308.1956519999999</v>
      </c>
      <c r="H132" s="1">
        <v>771.76713870000003</v>
      </c>
      <c r="I132" s="1">
        <v>0.77083333300000001</v>
      </c>
      <c r="J132" s="1">
        <v>0.424744395</v>
      </c>
      <c r="K132" s="1">
        <f>(B132+Table810[[#This Row],[grt]])/2</f>
        <v>2254.8804344999999</v>
      </c>
      <c r="L132" s="1">
        <f>(Table810[[#This Row],[prtsd]]+Table810[[#This Row],[grtsd]])/2</f>
        <v>784.99321250000003</v>
      </c>
      <c r="M132" s="1">
        <f>(Table810[[#This Row],[pacc]]+Table810[[#This Row],[gacc]])/2</f>
        <v>0.83439625849999999</v>
      </c>
      <c r="N132" s="1">
        <f>(Table810[[#This Row],[paccsd]]+Table810[[#This Row],[gaccsd]])/2</f>
        <v>0.365291633</v>
      </c>
      <c r="O132">
        <f>Table810[[#This Row],[mrt]]-(Table810[[#This Row],[macc]]*1000)</f>
        <v>1420.4841759999999</v>
      </c>
      <c r="P132" s="9">
        <f>(Table810[[#This Row],[prt]]-Table810[[#This Row],[grt]])</f>
        <v>-106.63043500000003</v>
      </c>
      <c r="Q132" s="8">
        <f>Table810[[#This Row],[pacc]]-Table810[[#This Row],[gacc]]</f>
        <v>0.12712585099999996</v>
      </c>
      <c r="R132" s="8">
        <f>Table810[[#This Row],[rt_pairing_score]]-Table810[[#This Row],[acc_pairing_score]]</f>
        <v>-106.75756085100004</v>
      </c>
    </row>
    <row r="133" spans="1:18" x14ac:dyDescent="0.25">
      <c r="A133" t="s">
        <v>171</v>
      </c>
      <c r="B133" s="1">
        <v>2270.75</v>
      </c>
      <c r="C133" s="1">
        <v>709.84258069999998</v>
      </c>
      <c r="D133" s="1">
        <v>0.89795918399999997</v>
      </c>
      <c r="E133" s="1">
        <v>0.30583887100000001</v>
      </c>
      <c r="F133" s="1">
        <v>498</v>
      </c>
      <c r="G133" s="1">
        <v>2261.7872339999999</v>
      </c>
      <c r="H133" s="1">
        <v>710.59842930000002</v>
      </c>
      <c r="I133" s="1">
        <v>0.8125</v>
      </c>
      <c r="J133" s="1">
        <v>0.39444277999999999</v>
      </c>
      <c r="K133" s="1">
        <f>(B133+Table810[[#This Row],[grt]])/2</f>
        <v>2266.2686169999997</v>
      </c>
      <c r="L133" s="1">
        <f>(Table810[[#This Row],[prtsd]]+Table810[[#This Row],[grtsd]])/2</f>
        <v>710.220505</v>
      </c>
      <c r="M133" s="1">
        <f>(Table810[[#This Row],[pacc]]+Table810[[#This Row],[gacc]])/2</f>
        <v>0.85522959199999993</v>
      </c>
      <c r="N133" s="1">
        <f>(Table810[[#This Row],[paccsd]]+Table810[[#This Row],[gaccsd]])/2</f>
        <v>0.35014082550000003</v>
      </c>
      <c r="O133">
        <f>Table810[[#This Row],[mrt]]-(Table810[[#This Row],[macc]]*1000)</f>
        <v>1411.0390249999998</v>
      </c>
      <c r="P133" s="9">
        <f>(Table810[[#This Row],[prt]]-Table810[[#This Row],[grt]])</f>
        <v>8.9627660000001015</v>
      </c>
      <c r="Q133" s="8">
        <f>Table810[[#This Row],[pacc]]-Table810[[#This Row],[gacc]]</f>
        <v>8.5459183999999966E-2</v>
      </c>
      <c r="R133" s="8">
        <f>Table810[[#This Row],[rt_pairing_score]]-Table810[[#This Row],[acc_pairing_score]]</f>
        <v>8.8773068160001021</v>
      </c>
    </row>
    <row r="134" spans="1:18" x14ac:dyDescent="0.25">
      <c r="A134" t="s">
        <v>71</v>
      </c>
      <c r="B134" s="1">
        <v>2174.8936170000002</v>
      </c>
      <c r="C134" s="1">
        <v>784.56321920000005</v>
      </c>
      <c r="D134" s="1">
        <v>0.755102041</v>
      </c>
      <c r="E134" s="1">
        <v>0.43448303799999999</v>
      </c>
      <c r="F134" s="1">
        <v>29</v>
      </c>
      <c r="G134" s="1">
        <v>2293.604167</v>
      </c>
      <c r="H134" s="1">
        <v>765.56264220000003</v>
      </c>
      <c r="I134" s="1">
        <v>0.89583333300000001</v>
      </c>
      <c r="J134" s="1">
        <v>0.30870927799999998</v>
      </c>
      <c r="K134" s="1">
        <f>(B134+Table810[[#This Row],[grt]])/2</f>
        <v>2234.2488920000001</v>
      </c>
      <c r="L134" s="1">
        <f>(Table810[[#This Row],[prtsd]]+Table810[[#This Row],[grtsd]])/2</f>
        <v>775.06293070000004</v>
      </c>
      <c r="M134" s="1">
        <f>(Table810[[#This Row],[pacc]]+Table810[[#This Row],[gacc]])/2</f>
        <v>0.82546768699999995</v>
      </c>
      <c r="N134" s="1">
        <f>(Table810[[#This Row],[paccsd]]+Table810[[#This Row],[gaccsd]])/2</f>
        <v>0.37159615800000001</v>
      </c>
      <c r="O134">
        <f>Table810[[#This Row],[mrt]]-(Table810[[#This Row],[macc]]*1000)</f>
        <v>1408.7812050000002</v>
      </c>
      <c r="P134" s="9">
        <f>(Table810[[#This Row],[prt]]-Table810[[#This Row],[grt]])</f>
        <v>-118.71054999999978</v>
      </c>
      <c r="Q134" s="8">
        <f>Table810[[#This Row],[pacc]]-Table810[[#This Row],[gacc]]</f>
        <v>-0.14073129200000001</v>
      </c>
      <c r="R134" s="8">
        <f>Table810[[#This Row],[rt_pairing_score]]-Table810[[#This Row],[acc_pairing_score]]</f>
        <v>-118.56981870799979</v>
      </c>
    </row>
    <row r="135" spans="1:18" x14ac:dyDescent="0.25">
      <c r="A135" t="s">
        <v>92</v>
      </c>
      <c r="B135" s="1">
        <v>2059.1428569999998</v>
      </c>
      <c r="C135" s="1">
        <v>850.10737070000005</v>
      </c>
      <c r="D135" s="1">
        <v>0.78</v>
      </c>
      <c r="E135" s="1">
        <v>0.41845195800000001</v>
      </c>
      <c r="F135" s="1">
        <v>659</v>
      </c>
      <c r="G135" s="1">
        <v>2466.895833</v>
      </c>
      <c r="H135" s="1">
        <v>840.53423329999998</v>
      </c>
      <c r="I135" s="1">
        <v>0.9375</v>
      </c>
      <c r="J135" s="1">
        <v>0.24462302699999999</v>
      </c>
      <c r="K135" s="1">
        <f>(B135+Table810[[#This Row],[grt]])/2</f>
        <v>2263.0193449999997</v>
      </c>
      <c r="L135" s="1">
        <f>(Table810[[#This Row],[prtsd]]+Table810[[#This Row],[grtsd]])/2</f>
        <v>845.32080199999996</v>
      </c>
      <c r="M135" s="1">
        <f>(Table810[[#This Row],[pacc]]+Table810[[#This Row],[gacc]])/2</f>
        <v>0.85875000000000001</v>
      </c>
      <c r="N135" s="1">
        <f>(Table810[[#This Row],[paccsd]]+Table810[[#This Row],[gaccsd]])/2</f>
        <v>0.33153749249999998</v>
      </c>
      <c r="O135">
        <f>Table810[[#This Row],[mrt]]-(Table810[[#This Row],[macc]]*1000)</f>
        <v>1404.2693449999997</v>
      </c>
      <c r="P135" s="9">
        <f>(Table810[[#This Row],[prt]]-Table810[[#This Row],[grt]])</f>
        <v>-407.75297600000022</v>
      </c>
      <c r="Q135" s="8">
        <f>Table810[[#This Row],[pacc]]-Table810[[#This Row],[gacc]]</f>
        <v>-0.15749999999999997</v>
      </c>
      <c r="R135" s="8">
        <f>Table810[[#This Row],[rt_pairing_score]]-Table810[[#This Row],[acc_pairing_score]]</f>
        <v>-407.59547600000019</v>
      </c>
    </row>
    <row r="136" spans="1:18" x14ac:dyDescent="0.25">
      <c r="A136" t="s">
        <v>175</v>
      </c>
      <c r="B136" s="1">
        <v>2087.1086959999998</v>
      </c>
      <c r="C136" s="1">
        <v>854.16998639999997</v>
      </c>
      <c r="D136" s="1">
        <v>0.89795918399999997</v>
      </c>
      <c r="E136" s="1">
        <v>0.30583887100000001</v>
      </c>
      <c r="F136" s="1">
        <v>559</v>
      </c>
      <c r="G136" s="1">
        <v>2436.3478260000002</v>
      </c>
      <c r="H136" s="1">
        <v>832.62188879999997</v>
      </c>
      <c r="I136" s="1">
        <v>0.82978723399999998</v>
      </c>
      <c r="J136" s="1">
        <v>0.37988264399999999</v>
      </c>
      <c r="K136" s="1">
        <f>(B136+Table810[[#This Row],[grt]])/2</f>
        <v>2261.7282610000002</v>
      </c>
      <c r="L136" s="1">
        <f>(Table810[[#This Row],[prtsd]]+Table810[[#This Row],[grtsd]])/2</f>
        <v>843.39593760000002</v>
      </c>
      <c r="M136" s="1">
        <f>(Table810[[#This Row],[pacc]]+Table810[[#This Row],[gacc]])/2</f>
        <v>0.86387320899999998</v>
      </c>
      <c r="N136" s="1">
        <f>(Table810[[#This Row],[paccsd]]+Table810[[#This Row],[gaccsd]])/2</f>
        <v>0.3428607575</v>
      </c>
      <c r="O136">
        <f>Table810[[#This Row],[mrt]]-(Table810[[#This Row],[macc]]*1000)</f>
        <v>1397.8550520000003</v>
      </c>
      <c r="P136" s="9">
        <f>(Table810[[#This Row],[prt]]-Table810[[#This Row],[grt]])</f>
        <v>-349.23913000000039</v>
      </c>
      <c r="Q136" s="8">
        <f>Table810[[#This Row],[pacc]]-Table810[[#This Row],[gacc]]</f>
        <v>6.8171949999999981E-2</v>
      </c>
      <c r="R136" s="8">
        <f>Table810[[#This Row],[rt_pairing_score]]-Table810[[#This Row],[acc_pairing_score]]</f>
        <v>-349.30730195000041</v>
      </c>
    </row>
    <row r="137" spans="1:18" x14ac:dyDescent="0.25">
      <c r="A137" t="s">
        <v>106</v>
      </c>
      <c r="B137" s="1">
        <v>2198.625</v>
      </c>
      <c r="C137" s="1">
        <v>776.45362990000001</v>
      </c>
      <c r="D137" s="1">
        <v>0.81632653099999997</v>
      </c>
      <c r="E137" s="1">
        <v>0.39123039799999998</v>
      </c>
      <c r="F137" s="1">
        <v>690</v>
      </c>
      <c r="G137" s="1">
        <v>2279.5957450000001</v>
      </c>
      <c r="H137" s="1">
        <v>757.49959560000002</v>
      </c>
      <c r="I137" s="1">
        <v>0.87234042599999995</v>
      </c>
      <c r="J137" s="1">
        <v>0.33731814900000001</v>
      </c>
      <c r="K137" s="1">
        <f>(B137+Table810[[#This Row],[grt]])/2</f>
        <v>2239.1103725000003</v>
      </c>
      <c r="L137" s="1">
        <f>(Table810[[#This Row],[prtsd]]+Table810[[#This Row],[grtsd]])/2</f>
        <v>766.97661274999996</v>
      </c>
      <c r="M137" s="1">
        <f>(Table810[[#This Row],[pacc]]+Table810[[#This Row],[gacc]])/2</f>
        <v>0.84433347849999996</v>
      </c>
      <c r="N137" s="1">
        <f>(Table810[[#This Row],[paccsd]]+Table810[[#This Row],[gaccsd]])/2</f>
        <v>0.36427427349999997</v>
      </c>
      <c r="O137">
        <f>Table810[[#This Row],[mrt]]-(Table810[[#This Row],[macc]]*1000)</f>
        <v>1394.7768940000003</v>
      </c>
      <c r="P137" s="9">
        <f>(Table810[[#This Row],[prt]]-Table810[[#This Row],[grt]])</f>
        <v>-80.970745000000079</v>
      </c>
      <c r="Q137" s="8">
        <f>Table810[[#This Row],[pacc]]-Table810[[#This Row],[gacc]]</f>
        <v>-5.601389499999998E-2</v>
      </c>
      <c r="R137" s="8">
        <f>Table810[[#This Row],[rt_pairing_score]]-Table810[[#This Row],[acc_pairing_score]]</f>
        <v>-80.914731105000072</v>
      </c>
    </row>
    <row r="138" spans="1:18" x14ac:dyDescent="0.25">
      <c r="A138" t="s">
        <v>51</v>
      </c>
      <c r="B138" s="1">
        <v>2206.104167</v>
      </c>
      <c r="C138" s="1">
        <v>764.7677784</v>
      </c>
      <c r="D138" s="1">
        <v>0.71428571399999996</v>
      </c>
      <c r="E138" s="1">
        <v>0.45643546499999998</v>
      </c>
      <c r="F138" s="1">
        <v>316</v>
      </c>
      <c r="G138" s="1">
        <v>2193.479167</v>
      </c>
      <c r="H138" s="1">
        <v>765.26332530000002</v>
      </c>
      <c r="I138" s="1">
        <v>0.89583333300000001</v>
      </c>
      <c r="J138" s="1">
        <v>0.30870927799999998</v>
      </c>
      <c r="K138" s="1">
        <f>(B138+Table810[[#This Row],[grt]])/2</f>
        <v>2199.791667</v>
      </c>
      <c r="L138" s="1">
        <f>(Table810[[#This Row],[prtsd]]+Table810[[#This Row],[grtsd]])/2</f>
        <v>765.01555185000007</v>
      </c>
      <c r="M138" s="1">
        <f>(Table810[[#This Row],[pacc]]+Table810[[#This Row],[gacc]])/2</f>
        <v>0.80505952349999998</v>
      </c>
      <c r="N138" s="1">
        <f>(Table810[[#This Row],[paccsd]]+Table810[[#This Row],[gaccsd]])/2</f>
        <v>0.38257237150000001</v>
      </c>
      <c r="O138">
        <f>Table810[[#This Row],[mrt]]-(Table810[[#This Row],[macc]]*1000)</f>
        <v>1394.7321434999999</v>
      </c>
      <c r="P138" s="9">
        <f>(Table810[[#This Row],[prt]]-Table810[[#This Row],[grt]])</f>
        <v>12.625</v>
      </c>
      <c r="Q138" s="8">
        <f>Table810[[#This Row],[pacc]]-Table810[[#This Row],[gacc]]</f>
        <v>-0.18154761900000005</v>
      </c>
      <c r="R138" s="8">
        <f>Table810[[#This Row],[rt_pairing_score]]-Table810[[#This Row],[acc_pairing_score]]</f>
        <v>12.806547619</v>
      </c>
    </row>
    <row r="139" spans="1:18" x14ac:dyDescent="0.25">
      <c r="A139" t="s">
        <v>162</v>
      </c>
      <c r="B139" s="1">
        <v>2285.2600000000002</v>
      </c>
      <c r="C139" s="1">
        <v>715.96784249999996</v>
      </c>
      <c r="D139" s="1">
        <v>0.88</v>
      </c>
      <c r="E139" s="1">
        <v>0.32826072299999998</v>
      </c>
      <c r="F139" s="1">
        <v>142</v>
      </c>
      <c r="G139" s="1">
        <v>2278.770833</v>
      </c>
      <c r="H139" s="1">
        <v>719.28676970000004</v>
      </c>
      <c r="I139" s="1">
        <v>0.89583333300000001</v>
      </c>
      <c r="J139" s="1">
        <v>0.30870927799999998</v>
      </c>
      <c r="K139" s="1">
        <f>(B139+Table810[[#This Row],[grt]])/2</f>
        <v>2282.0154165000004</v>
      </c>
      <c r="L139" s="1">
        <f>(Table810[[#This Row],[prtsd]]+Table810[[#This Row],[grtsd]])/2</f>
        <v>717.62730609999994</v>
      </c>
      <c r="M139" s="1">
        <f>(Table810[[#This Row],[pacc]]+Table810[[#This Row],[gacc]])/2</f>
        <v>0.88791666650000001</v>
      </c>
      <c r="N139" s="1">
        <f>(Table810[[#This Row],[paccsd]]+Table810[[#This Row],[gaccsd]])/2</f>
        <v>0.31848500049999995</v>
      </c>
      <c r="O139">
        <f>Table810[[#This Row],[mrt]]-(Table810[[#This Row],[macc]]*1000)</f>
        <v>1394.0987500000003</v>
      </c>
      <c r="P139" s="9">
        <f>(Table810[[#This Row],[prt]]-Table810[[#This Row],[grt]])</f>
        <v>6.4891670000001795</v>
      </c>
      <c r="Q139" s="8">
        <f>Table810[[#This Row],[pacc]]-Table810[[#This Row],[gacc]]</f>
        <v>-1.5833333000000005E-2</v>
      </c>
      <c r="R139" s="8">
        <f>Table810[[#This Row],[rt_pairing_score]]-Table810[[#This Row],[acc_pairing_score]]</f>
        <v>6.5050003330001793</v>
      </c>
    </row>
    <row r="140" spans="1:18" x14ac:dyDescent="0.25">
      <c r="A140" t="s">
        <v>157</v>
      </c>
      <c r="B140" s="1">
        <v>2289.875</v>
      </c>
      <c r="C140" s="1">
        <v>655.84136720000004</v>
      </c>
      <c r="D140" s="1">
        <v>0.88</v>
      </c>
      <c r="E140" s="1">
        <v>0.32826072299999998</v>
      </c>
      <c r="F140" s="1">
        <v>121</v>
      </c>
      <c r="G140" s="1">
        <v>2290.2173910000001</v>
      </c>
      <c r="H140" s="1">
        <v>651.84827519999999</v>
      </c>
      <c r="I140" s="1">
        <v>0.91666666699999999</v>
      </c>
      <c r="J140" s="1">
        <v>0.27931019400000001</v>
      </c>
      <c r="K140" s="1">
        <f>(B140+Table810[[#This Row],[grt]])/2</f>
        <v>2290.0461955000001</v>
      </c>
      <c r="L140" s="1">
        <f>(Table810[[#This Row],[prtsd]]+Table810[[#This Row],[grtsd]])/2</f>
        <v>653.84482120000007</v>
      </c>
      <c r="M140" s="1">
        <f>(Table810[[#This Row],[pacc]]+Table810[[#This Row],[gacc]])/2</f>
        <v>0.8983333335</v>
      </c>
      <c r="N140" s="1">
        <f>(Table810[[#This Row],[paccsd]]+Table810[[#This Row],[gaccsd]])/2</f>
        <v>0.30378545849999999</v>
      </c>
      <c r="O140">
        <f>Table810[[#This Row],[mrt]]-(Table810[[#This Row],[macc]]*1000)</f>
        <v>1391.7128620000001</v>
      </c>
      <c r="P140" s="9">
        <f>(Table810[[#This Row],[prt]]-Table810[[#This Row],[grt]])</f>
        <v>-0.34239100000013423</v>
      </c>
      <c r="Q140" s="8">
        <f>Table810[[#This Row],[pacc]]-Table810[[#This Row],[gacc]]</f>
        <v>-3.6666666999999986E-2</v>
      </c>
      <c r="R140" s="8">
        <f>Table810[[#This Row],[rt_pairing_score]]-Table810[[#This Row],[acc_pairing_score]]</f>
        <v>-0.30572433300013424</v>
      </c>
    </row>
    <row r="141" spans="1:18" x14ac:dyDescent="0.25">
      <c r="A141" t="s">
        <v>211</v>
      </c>
      <c r="B141" s="1">
        <v>2268.7551020000001</v>
      </c>
      <c r="C141" s="1">
        <v>765.22811220000006</v>
      </c>
      <c r="D141" s="1">
        <v>0.918367347</v>
      </c>
      <c r="E141" s="1">
        <v>0.27664166800000001</v>
      </c>
      <c r="F141" s="1">
        <v>219</v>
      </c>
      <c r="G141" s="1">
        <v>2261.625</v>
      </c>
      <c r="H141" s="1">
        <v>760.86313319999999</v>
      </c>
      <c r="I141" s="1">
        <v>0.83333333300000001</v>
      </c>
      <c r="J141" s="1">
        <v>0.37662178899999998</v>
      </c>
      <c r="K141" s="1">
        <f>(B141+Table810[[#This Row],[grt]])/2</f>
        <v>2265.190051</v>
      </c>
      <c r="L141" s="1">
        <f>(Table810[[#This Row],[prtsd]]+Table810[[#This Row],[grtsd]])/2</f>
        <v>763.04562269999997</v>
      </c>
      <c r="M141" s="1">
        <f>(Table810[[#This Row],[pacc]]+Table810[[#This Row],[gacc]])/2</f>
        <v>0.87585033999999995</v>
      </c>
      <c r="N141" s="1">
        <f>(Table810[[#This Row],[paccsd]]+Table810[[#This Row],[gaccsd]])/2</f>
        <v>0.3266317285</v>
      </c>
      <c r="O141">
        <f>Table810[[#This Row],[mrt]]-(Table810[[#This Row],[macc]]*1000)</f>
        <v>1389.3397110000001</v>
      </c>
      <c r="P141" s="9">
        <f>(Table810[[#This Row],[prt]]-Table810[[#This Row],[grt]])</f>
        <v>7.130102000000079</v>
      </c>
      <c r="Q141" s="8">
        <f>Table810[[#This Row],[pacc]]-Table810[[#This Row],[gacc]]</f>
        <v>8.5034013999999991E-2</v>
      </c>
      <c r="R141" s="8">
        <f>Table810[[#This Row],[rt_pairing_score]]-Table810[[#This Row],[acc_pairing_score]]</f>
        <v>7.0450679860000793</v>
      </c>
    </row>
    <row r="142" spans="1:18" x14ac:dyDescent="0.25">
      <c r="A142" t="s">
        <v>116</v>
      </c>
      <c r="B142" s="1">
        <v>2247.553191</v>
      </c>
      <c r="C142" s="1">
        <v>751.64260149999996</v>
      </c>
      <c r="D142" s="1">
        <v>0.82</v>
      </c>
      <c r="E142" s="1">
        <v>0.38808793400000002</v>
      </c>
      <c r="F142" s="1">
        <v>552</v>
      </c>
      <c r="G142" s="1">
        <v>2263.4782610000002</v>
      </c>
      <c r="H142" s="1">
        <v>751.71492049999995</v>
      </c>
      <c r="I142" s="1">
        <v>0.91489361700000005</v>
      </c>
      <c r="J142" s="1">
        <v>0.28205667299999998</v>
      </c>
      <c r="K142" s="1">
        <f>(B142+Table810[[#This Row],[grt]])/2</f>
        <v>2255.5157260000001</v>
      </c>
      <c r="L142" s="1">
        <f>(Table810[[#This Row],[prtsd]]+Table810[[#This Row],[grtsd]])/2</f>
        <v>751.67876099999989</v>
      </c>
      <c r="M142" s="1">
        <f>(Table810[[#This Row],[pacc]]+Table810[[#This Row],[gacc]])/2</f>
        <v>0.8674468085</v>
      </c>
      <c r="N142" s="1">
        <f>(Table810[[#This Row],[paccsd]]+Table810[[#This Row],[gaccsd]])/2</f>
        <v>0.3350723035</v>
      </c>
      <c r="O142">
        <f>Table810[[#This Row],[mrt]]-(Table810[[#This Row],[macc]]*1000)</f>
        <v>1388.0689175000002</v>
      </c>
      <c r="P142" s="9">
        <f>(Table810[[#This Row],[prt]]-Table810[[#This Row],[grt]])</f>
        <v>-15.925070000000233</v>
      </c>
      <c r="Q142" s="8">
        <f>Table810[[#This Row],[pacc]]-Table810[[#This Row],[gacc]]</f>
        <v>-9.4893617000000097E-2</v>
      </c>
      <c r="R142" s="8">
        <f>Table810[[#This Row],[rt_pairing_score]]-Table810[[#This Row],[acc_pairing_score]]</f>
        <v>-15.830176383000232</v>
      </c>
    </row>
    <row r="143" spans="1:18" x14ac:dyDescent="0.25">
      <c r="A143" t="s">
        <v>128</v>
      </c>
      <c r="B143" s="1">
        <v>2287.5</v>
      </c>
      <c r="C143" s="1">
        <v>707.25050480000004</v>
      </c>
      <c r="D143" s="1">
        <v>0.84</v>
      </c>
      <c r="E143" s="1">
        <v>0.37032804000000002</v>
      </c>
      <c r="F143" s="1">
        <v>583</v>
      </c>
      <c r="G143" s="1">
        <v>2282.520833</v>
      </c>
      <c r="H143" s="1">
        <v>707.03612680000003</v>
      </c>
      <c r="I143" s="1">
        <v>0.97916666699999999</v>
      </c>
      <c r="J143" s="1">
        <v>0.144337567</v>
      </c>
      <c r="K143" s="1">
        <f>(B143+Table810[[#This Row],[grt]])/2</f>
        <v>2285.0104165000002</v>
      </c>
      <c r="L143" s="1">
        <f>(Table810[[#This Row],[prtsd]]+Table810[[#This Row],[grtsd]])/2</f>
        <v>707.14331579999998</v>
      </c>
      <c r="M143" s="1">
        <f>(Table810[[#This Row],[pacc]]+Table810[[#This Row],[gacc]])/2</f>
        <v>0.90958333349999998</v>
      </c>
      <c r="N143" s="1">
        <f>(Table810[[#This Row],[paccsd]]+Table810[[#This Row],[gaccsd]])/2</f>
        <v>0.25733280349999998</v>
      </c>
      <c r="O143">
        <f>Table810[[#This Row],[mrt]]-(Table810[[#This Row],[macc]]*1000)</f>
        <v>1375.4270830000003</v>
      </c>
      <c r="P143" s="9">
        <f>(Table810[[#This Row],[prt]]-Table810[[#This Row],[grt]])</f>
        <v>4.9791669999999613</v>
      </c>
      <c r="Q143" s="8">
        <f>Table810[[#This Row],[pacc]]-Table810[[#This Row],[gacc]]</f>
        <v>-0.13916666700000002</v>
      </c>
      <c r="R143" s="8">
        <f>Table810[[#This Row],[rt_pairing_score]]-Table810[[#This Row],[acc_pairing_score]]</f>
        <v>5.1183336669999608</v>
      </c>
    </row>
    <row r="144" spans="1:18" x14ac:dyDescent="0.25">
      <c r="A144" t="s">
        <v>218</v>
      </c>
      <c r="B144" s="1">
        <v>2270.6122449999998</v>
      </c>
      <c r="C144" s="1">
        <v>653.57764829999996</v>
      </c>
      <c r="D144" s="1">
        <v>0.92</v>
      </c>
      <c r="E144" s="1">
        <v>0.27404751599999999</v>
      </c>
      <c r="F144" s="1">
        <v>939</v>
      </c>
      <c r="G144" s="1">
        <v>2272.5454549999999</v>
      </c>
      <c r="H144" s="1">
        <v>647.61223159999997</v>
      </c>
      <c r="I144" s="1">
        <v>0.87234042599999995</v>
      </c>
      <c r="J144" s="1">
        <v>0.33731814900000001</v>
      </c>
      <c r="K144" s="1">
        <f>(B144+Table810[[#This Row],[grt]])/2</f>
        <v>2271.5788499999999</v>
      </c>
      <c r="L144" s="1">
        <f>(Table810[[#This Row],[prtsd]]+Table810[[#This Row],[grtsd]])/2</f>
        <v>650.59493995000003</v>
      </c>
      <c r="M144" s="1">
        <f>(Table810[[#This Row],[pacc]]+Table810[[#This Row],[gacc]])/2</f>
        <v>0.89617021299999999</v>
      </c>
      <c r="N144" s="1">
        <f>(Table810[[#This Row],[paccsd]]+Table810[[#This Row],[gaccsd]])/2</f>
        <v>0.3056828325</v>
      </c>
      <c r="O144">
        <f>Table810[[#This Row],[mrt]]-(Table810[[#This Row],[macc]]*1000)</f>
        <v>1375.408637</v>
      </c>
      <c r="P144" s="9">
        <f>(Table810[[#This Row],[prt]]-Table810[[#This Row],[grt]])</f>
        <v>-1.9332100000001446</v>
      </c>
      <c r="Q144" s="8">
        <f>Table810[[#This Row],[pacc]]-Table810[[#This Row],[gacc]]</f>
        <v>4.7659574000000093E-2</v>
      </c>
      <c r="R144" s="8">
        <f>Table810[[#This Row],[rt_pairing_score]]-Table810[[#This Row],[acc_pairing_score]]</f>
        <v>-1.9808695740001447</v>
      </c>
    </row>
    <row r="145" spans="1:18" x14ac:dyDescent="0.25">
      <c r="A145" t="s">
        <v>203</v>
      </c>
      <c r="B145" s="1">
        <v>2172.479167</v>
      </c>
      <c r="C145" s="1">
        <v>797.80536710000001</v>
      </c>
      <c r="D145" s="1">
        <v>0.918367347</v>
      </c>
      <c r="E145" s="1">
        <v>0.27664166800000001</v>
      </c>
      <c r="F145" s="1">
        <v>335</v>
      </c>
      <c r="G145" s="1">
        <v>2349.3043480000001</v>
      </c>
      <c r="H145" s="1">
        <v>767.17936099999997</v>
      </c>
      <c r="I145" s="1">
        <v>0.85416666699999999</v>
      </c>
      <c r="J145" s="1">
        <v>0.35667395800000001</v>
      </c>
      <c r="K145" s="1">
        <f>(B145+Table810[[#This Row],[grt]])/2</f>
        <v>2260.8917575</v>
      </c>
      <c r="L145" s="1">
        <f>(Table810[[#This Row],[prtsd]]+Table810[[#This Row],[grtsd]])/2</f>
        <v>782.49236404999999</v>
      </c>
      <c r="M145" s="1">
        <f>(Table810[[#This Row],[pacc]]+Table810[[#This Row],[gacc]])/2</f>
        <v>0.88626700700000005</v>
      </c>
      <c r="N145" s="1">
        <f>(Table810[[#This Row],[paccsd]]+Table810[[#This Row],[gaccsd]])/2</f>
        <v>0.31665781300000001</v>
      </c>
      <c r="O145">
        <f>Table810[[#This Row],[mrt]]-(Table810[[#This Row],[macc]]*1000)</f>
        <v>1374.6247505000001</v>
      </c>
      <c r="P145" s="9">
        <f>(Table810[[#This Row],[prt]]-Table810[[#This Row],[grt]])</f>
        <v>-176.82518100000016</v>
      </c>
      <c r="Q145" s="8">
        <f>Table810[[#This Row],[pacc]]-Table810[[#This Row],[gacc]]</f>
        <v>6.420068000000001E-2</v>
      </c>
      <c r="R145" s="8">
        <f>Table810[[#This Row],[rt_pairing_score]]-Table810[[#This Row],[acc_pairing_score]]</f>
        <v>-176.88938168000016</v>
      </c>
    </row>
    <row r="146" spans="1:18" x14ac:dyDescent="0.25">
      <c r="A146" t="s">
        <v>195</v>
      </c>
      <c r="B146" s="1">
        <v>2323.8085110000002</v>
      </c>
      <c r="C146" s="1">
        <v>835.54451489999997</v>
      </c>
      <c r="D146" s="1">
        <v>0.91666666699999999</v>
      </c>
      <c r="E146" s="1">
        <v>0.27931019400000001</v>
      </c>
      <c r="F146" s="1">
        <v>637</v>
      </c>
      <c r="G146" s="1">
        <v>2305.9787230000002</v>
      </c>
      <c r="H146" s="1">
        <v>834.93453239999997</v>
      </c>
      <c r="I146" s="1">
        <v>0.97916666699999999</v>
      </c>
      <c r="J146" s="1">
        <v>0.144337567</v>
      </c>
      <c r="K146" s="1">
        <f>(B146+Table810[[#This Row],[grt]])/2</f>
        <v>2314.8936170000002</v>
      </c>
      <c r="L146" s="1">
        <f>(Table810[[#This Row],[prtsd]]+Table810[[#This Row],[grtsd]])/2</f>
        <v>835.23952364999991</v>
      </c>
      <c r="M146" s="1">
        <f>(Table810[[#This Row],[pacc]]+Table810[[#This Row],[gacc]])/2</f>
        <v>0.94791666699999999</v>
      </c>
      <c r="N146" s="1">
        <f>(Table810[[#This Row],[paccsd]]+Table810[[#This Row],[gaccsd]])/2</f>
        <v>0.21182388050000001</v>
      </c>
      <c r="O146">
        <f>Table810[[#This Row],[mrt]]-(Table810[[#This Row],[macc]]*1000)</f>
        <v>1366.9769500000002</v>
      </c>
      <c r="P146" s="9">
        <f>(Table810[[#This Row],[prt]]-Table810[[#This Row],[grt]])</f>
        <v>17.829788000000008</v>
      </c>
      <c r="Q146" s="8">
        <f>Table810[[#This Row],[pacc]]-Table810[[#This Row],[gacc]]</f>
        <v>-6.25E-2</v>
      </c>
      <c r="R146" s="8">
        <f>Table810[[#This Row],[rt_pairing_score]]-Table810[[#This Row],[acc_pairing_score]]</f>
        <v>17.892288000000008</v>
      </c>
    </row>
    <row r="147" spans="1:18" x14ac:dyDescent="0.25">
      <c r="A147" t="s">
        <v>290</v>
      </c>
      <c r="B147" s="1">
        <v>2060.2244900000001</v>
      </c>
      <c r="C147" s="1">
        <v>759.31548850000001</v>
      </c>
      <c r="D147" s="1">
        <v>0.95918367299999996</v>
      </c>
      <c r="E147" s="1">
        <v>0.19991494800000001</v>
      </c>
      <c r="F147" s="1">
        <v>283</v>
      </c>
      <c r="G147" s="1">
        <v>2257.604167</v>
      </c>
      <c r="H147" s="1">
        <v>720.78384459999995</v>
      </c>
      <c r="I147" s="1">
        <v>0.625</v>
      </c>
      <c r="J147" s="1">
        <v>0.48924605500000001</v>
      </c>
      <c r="K147" s="1">
        <f>(B147+Table810[[#This Row],[grt]])/2</f>
        <v>2158.9143285</v>
      </c>
      <c r="L147" s="1">
        <f>(Table810[[#This Row],[prtsd]]+Table810[[#This Row],[grtsd]])/2</f>
        <v>740.04966654999998</v>
      </c>
      <c r="M147" s="1">
        <f>(Table810[[#This Row],[pacc]]+Table810[[#This Row],[gacc]])/2</f>
        <v>0.79209183650000003</v>
      </c>
      <c r="N147" s="1">
        <f>(Table810[[#This Row],[paccsd]]+Table810[[#This Row],[gaccsd]])/2</f>
        <v>0.34458050150000002</v>
      </c>
      <c r="O147">
        <f>Table810[[#This Row],[mrt]]-(Table810[[#This Row],[macc]]*1000)</f>
        <v>1366.822492</v>
      </c>
      <c r="P147" s="9">
        <f>(Table810[[#This Row],[prt]]-Table810[[#This Row],[grt]])</f>
        <v>-197.3796769999999</v>
      </c>
      <c r="Q147" s="8">
        <f>Table810[[#This Row],[pacc]]-Table810[[#This Row],[gacc]]</f>
        <v>0.33418367299999996</v>
      </c>
      <c r="R147" s="8">
        <f>Table810[[#This Row],[rt_pairing_score]]-Table810[[#This Row],[acc_pairing_score]]</f>
        <v>-197.71386067299991</v>
      </c>
    </row>
    <row r="148" spans="1:18" x14ac:dyDescent="0.25">
      <c r="A148" t="s">
        <v>110</v>
      </c>
      <c r="B148" s="1">
        <v>2249.770833</v>
      </c>
      <c r="C148" s="1">
        <v>757.49026370000001</v>
      </c>
      <c r="D148" s="1">
        <v>0.82</v>
      </c>
      <c r="E148" s="1">
        <v>0.38808793400000002</v>
      </c>
      <c r="F148" s="1">
        <v>595</v>
      </c>
      <c r="G148" s="1">
        <v>2259.604167</v>
      </c>
      <c r="H148" s="1">
        <v>757.85848169999997</v>
      </c>
      <c r="I148" s="1">
        <v>0.95833333300000001</v>
      </c>
      <c r="J148" s="1">
        <v>0.20194093699999999</v>
      </c>
      <c r="K148" s="1">
        <f>(B148+Table810[[#This Row],[grt]])/2</f>
        <v>2254.6875</v>
      </c>
      <c r="L148" s="1">
        <f>(Table810[[#This Row],[prtsd]]+Table810[[#This Row],[grtsd]])/2</f>
        <v>757.67437270000005</v>
      </c>
      <c r="M148" s="1">
        <f>(Table810[[#This Row],[pacc]]+Table810[[#This Row],[gacc]])/2</f>
        <v>0.88916666649999998</v>
      </c>
      <c r="N148" s="1">
        <f>(Table810[[#This Row],[paccsd]]+Table810[[#This Row],[gaccsd]])/2</f>
        <v>0.29501443550000001</v>
      </c>
      <c r="O148">
        <f>Table810[[#This Row],[mrt]]-(Table810[[#This Row],[macc]]*1000)</f>
        <v>1365.5208335</v>
      </c>
      <c r="P148" s="9">
        <f>(Table810[[#This Row],[prt]]-Table810[[#This Row],[grt]])</f>
        <v>-9.8333339999999225</v>
      </c>
      <c r="Q148" s="8">
        <f>Table810[[#This Row],[pacc]]-Table810[[#This Row],[gacc]]</f>
        <v>-0.13833333300000006</v>
      </c>
      <c r="R148" s="8">
        <f>Table810[[#This Row],[rt_pairing_score]]-Table810[[#This Row],[acc_pairing_score]]</f>
        <v>-9.6950006669999222</v>
      </c>
    </row>
    <row r="149" spans="1:18" x14ac:dyDescent="0.25">
      <c r="A149" t="s">
        <v>322</v>
      </c>
      <c r="B149" s="1">
        <v>2193.0816329999998</v>
      </c>
      <c r="C149" s="1">
        <v>860.31919549999998</v>
      </c>
      <c r="D149" s="1">
        <v>0.96</v>
      </c>
      <c r="E149" s="1">
        <v>0.197948664</v>
      </c>
      <c r="F149" s="1">
        <v>849</v>
      </c>
      <c r="G149" s="1">
        <v>2350.0454549999999</v>
      </c>
      <c r="H149" s="1">
        <v>860.24009509999996</v>
      </c>
      <c r="I149" s="1">
        <v>0.85416666699999999</v>
      </c>
      <c r="J149" s="1">
        <v>0.35667395800000001</v>
      </c>
      <c r="K149" s="1">
        <f>(B149+Table810[[#This Row],[grt]])/2</f>
        <v>2271.5635439999996</v>
      </c>
      <c r="L149" s="1">
        <f>(Table810[[#This Row],[prtsd]]+Table810[[#This Row],[grtsd]])/2</f>
        <v>860.27964529999997</v>
      </c>
      <c r="M149" s="1">
        <f>(Table810[[#This Row],[pacc]]+Table810[[#This Row],[gacc]])/2</f>
        <v>0.90708333349999992</v>
      </c>
      <c r="N149" s="1">
        <f>(Table810[[#This Row],[paccsd]]+Table810[[#This Row],[gaccsd]])/2</f>
        <v>0.277311311</v>
      </c>
      <c r="O149">
        <f>Table810[[#This Row],[mrt]]-(Table810[[#This Row],[macc]]*1000)</f>
        <v>1364.4802104999999</v>
      </c>
      <c r="P149" s="9">
        <f>(Table810[[#This Row],[prt]]-Table810[[#This Row],[grt]])</f>
        <v>-156.96382200000016</v>
      </c>
      <c r="Q149" s="8">
        <f>Table810[[#This Row],[pacc]]-Table810[[#This Row],[gacc]]</f>
        <v>0.10583333299999997</v>
      </c>
      <c r="R149" s="8">
        <f>Table810[[#This Row],[rt_pairing_score]]-Table810[[#This Row],[acc_pairing_score]]</f>
        <v>-157.06965533300016</v>
      </c>
    </row>
    <row r="150" spans="1:18" x14ac:dyDescent="0.25">
      <c r="A150" t="s">
        <v>214</v>
      </c>
      <c r="B150" s="1">
        <v>2263.3000000000002</v>
      </c>
      <c r="C150" s="1">
        <v>736.15865220000001</v>
      </c>
      <c r="D150" s="1">
        <v>0.92</v>
      </c>
      <c r="E150" s="1">
        <v>0.27404751599999999</v>
      </c>
      <c r="F150" s="1">
        <v>239</v>
      </c>
      <c r="G150" s="1">
        <v>2259.4375</v>
      </c>
      <c r="H150" s="1">
        <v>734.85479550000002</v>
      </c>
      <c r="I150" s="1">
        <v>0.875</v>
      </c>
      <c r="J150" s="1">
        <v>0.33421868199999999</v>
      </c>
      <c r="K150" s="1">
        <f>(B150+Table810[[#This Row],[grt]])/2</f>
        <v>2261.3687500000001</v>
      </c>
      <c r="L150" s="1">
        <f>(Table810[[#This Row],[prtsd]]+Table810[[#This Row],[grtsd]])/2</f>
        <v>735.50672385000007</v>
      </c>
      <c r="M150" s="1">
        <f>(Table810[[#This Row],[pacc]]+Table810[[#This Row],[gacc]])/2</f>
        <v>0.89749999999999996</v>
      </c>
      <c r="N150" s="1">
        <f>(Table810[[#This Row],[paccsd]]+Table810[[#This Row],[gaccsd]])/2</f>
        <v>0.30413309899999996</v>
      </c>
      <c r="O150">
        <f>Table810[[#This Row],[mrt]]-(Table810[[#This Row],[macc]]*1000)</f>
        <v>1363.8687500000001</v>
      </c>
      <c r="P150" s="9">
        <f>(Table810[[#This Row],[prt]]-Table810[[#This Row],[grt]])</f>
        <v>3.8625000000001819</v>
      </c>
      <c r="Q150" s="8">
        <f>Table810[[#This Row],[pacc]]-Table810[[#This Row],[gacc]]</f>
        <v>4.500000000000004E-2</v>
      </c>
      <c r="R150" s="8">
        <f>Table810[[#This Row],[rt_pairing_score]]-Table810[[#This Row],[acc_pairing_score]]</f>
        <v>3.817500000000182</v>
      </c>
    </row>
    <row r="151" spans="1:18" x14ac:dyDescent="0.25">
      <c r="A151" t="s">
        <v>208</v>
      </c>
      <c r="B151" s="1">
        <v>2267.9591839999998</v>
      </c>
      <c r="C151" s="1">
        <v>775.89802699999996</v>
      </c>
      <c r="D151" s="1">
        <v>0.918367347</v>
      </c>
      <c r="E151" s="1">
        <v>0.27664166800000001</v>
      </c>
      <c r="F151" s="1">
        <v>587</v>
      </c>
      <c r="G151" s="1">
        <v>2272.5957450000001</v>
      </c>
      <c r="H151" s="1">
        <v>783.41339689999995</v>
      </c>
      <c r="I151" s="1">
        <v>0.89583333300000001</v>
      </c>
      <c r="J151" s="1">
        <v>0.30870927799999998</v>
      </c>
      <c r="K151" s="1">
        <f>(B151+Table810[[#This Row],[grt]])/2</f>
        <v>2270.2774645</v>
      </c>
      <c r="L151" s="1">
        <f>(Table810[[#This Row],[prtsd]]+Table810[[#This Row],[grtsd]])/2</f>
        <v>779.65571194999995</v>
      </c>
      <c r="M151" s="1">
        <f>(Table810[[#This Row],[pacc]]+Table810[[#This Row],[gacc]])/2</f>
        <v>0.90710033999999995</v>
      </c>
      <c r="N151" s="1">
        <f>(Table810[[#This Row],[paccsd]]+Table810[[#This Row],[gaccsd]])/2</f>
        <v>0.29267547299999996</v>
      </c>
      <c r="O151">
        <f>Table810[[#This Row],[mrt]]-(Table810[[#This Row],[macc]]*1000)</f>
        <v>1363.1771245</v>
      </c>
      <c r="P151" s="9">
        <f>(Table810[[#This Row],[prt]]-Table810[[#This Row],[grt]])</f>
        <v>-4.6365610000002562</v>
      </c>
      <c r="Q151" s="8">
        <f>Table810[[#This Row],[pacc]]-Table810[[#This Row],[gacc]]</f>
        <v>2.2534013999999991E-2</v>
      </c>
      <c r="R151" s="8">
        <f>Table810[[#This Row],[rt_pairing_score]]-Table810[[#This Row],[acc_pairing_score]]</f>
        <v>-4.6590950140002558</v>
      </c>
    </row>
    <row r="152" spans="1:18" x14ac:dyDescent="0.25">
      <c r="A152" t="s">
        <v>198</v>
      </c>
      <c r="B152" s="1">
        <v>2134.8125</v>
      </c>
      <c r="C152" s="1">
        <v>811.67697840000005</v>
      </c>
      <c r="D152" s="1">
        <v>0.91666666699999999</v>
      </c>
      <c r="E152" s="1">
        <v>0.27931019400000001</v>
      </c>
      <c r="F152" s="1">
        <v>172</v>
      </c>
      <c r="G152" s="1">
        <v>2376.1555560000002</v>
      </c>
      <c r="H152" s="1">
        <v>771.12762640000005</v>
      </c>
      <c r="I152" s="1">
        <v>0.87234042599999995</v>
      </c>
      <c r="J152" s="1">
        <v>0.33731814900000001</v>
      </c>
      <c r="K152" s="1">
        <f>(B152+Table810[[#This Row],[grt]])/2</f>
        <v>2255.4840279999999</v>
      </c>
      <c r="L152" s="1">
        <f>(Table810[[#This Row],[prtsd]]+Table810[[#This Row],[grtsd]])/2</f>
        <v>791.40230240000005</v>
      </c>
      <c r="M152" s="1">
        <f>(Table810[[#This Row],[pacc]]+Table810[[#This Row],[gacc]])/2</f>
        <v>0.89450354649999997</v>
      </c>
      <c r="N152" s="1">
        <f>(Table810[[#This Row],[paccsd]]+Table810[[#This Row],[gaccsd]])/2</f>
        <v>0.30831417150000001</v>
      </c>
      <c r="O152">
        <f>Table810[[#This Row],[mrt]]-(Table810[[#This Row],[macc]]*1000)</f>
        <v>1360.9804814999998</v>
      </c>
      <c r="P152" s="9">
        <f>(Table810[[#This Row],[prt]]-Table810[[#This Row],[grt]])</f>
        <v>-241.34305600000016</v>
      </c>
      <c r="Q152" s="8">
        <f>Table810[[#This Row],[pacc]]-Table810[[#This Row],[gacc]]</f>
        <v>4.4326241000000044E-2</v>
      </c>
      <c r="R152" s="8">
        <f>Table810[[#This Row],[rt_pairing_score]]-Table810[[#This Row],[acc_pairing_score]]</f>
        <v>-241.38738224100015</v>
      </c>
    </row>
    <row r="153" spans="1:18" x14ac:dyDescent="0.25">
      <c r="A153" t="s">
        <v>243</v>
      </c>
      <c r="B153" s="1">
        <v>2157.2244900000001</v>
      </c>
      <c r="C153" s="1">
        <v>813.40419599999996</v>
      </c>
      <c r="D153" s="1">
        <v>0.93877551000000004</v>
      </c>
      <c r="E153" s="1">
        <v>0.24222607099999999</v>
      </c>
      <c r="F153" s="1">
        <v>633</v>
      </c>
      <c r="G153" s="1">
        <v>2396.3043480000001</v>
      </c>
      <c r="H153" s="1">
        <v>804.48161000000005</v>
      </c>
      <c r="I153" s="1">
        <v>0.89361702099999996</v>
      </c>
      <c r="J153" s="1">
        <v>0.31166052799999999</v>
      </c>
      <c r="K153" s="1">
        <f>(B153+Table810[[#This Row],[grt]])/2</f>
        <v>2276.7644190000001</v>
      </c>
      <c r="L153" s="1">
        <f>(Table810[[#This Row],[prtsd]]+Table810[[#This Row],[grtsd]])/2</f>
        <v>808.942903</v>
      </c>
      <c r="M153" s="1">
        <f>(Table810[[#This Row],[pacc]]+Table810[[#This Row],[gacc]])/2</f>
        <v>0.9161962655</v>
      </c>
      <c r="N153" s="1">
        <f>(Table810[[#This Row],[paccsd]]+Table810[[#This Row],[gaccsd]])/2</f>
        <v>0.27694329949999996</v>
      </c>
      <c r="O153">
        <f>Table810[[#This Row],[mrt]]-(Table810[[#This Row],[macc]]*1000)</f>
        <v>1360.5681535000001</v>
      </c>
      <c r="P153" s="9">
        <f>(Table810[[#This Row],[prt]]-Table810[[#This Row],[grt]])</f>
        <v>-239.07985800000006</v>
      </c>
      <c r="Q153" s="8">
        <f>Table810[[#This Row],[pacc]]-Table810[[#This Row],[gacc]]</f>
        <v>4.5158489000000079E-2</v>
      </c>
      <c r="R153" s="8">
        <f>Table810[[#This Row],[rt_pairing_score]]-Table810[[#This Row],[acc_pairing_score]]</f>
        <v>-239.12501648900005</v>
      </c>
    </row>
    <row r="154" spans="1:18" x14ac:dyDescent="0.25">
      <c r="A154" t="s">
        <v>252</v>
      </c>
      <c r="B154" s="1">
        <v>2180.48</v>
      </c>
      <c r="C154" s="1">
        <v>692.70629399999996</v>
      </c>
      <c r="D154" s="1">
        <v>0.94</v>
      </c>
      <c r="E154" s="1">
        <v>0.23989793700000001</v>
      </c>
      <c r="F154" s="1">
        <v>180</v>
      </c>
      <c r="G154" s="1">
        <v>2187.130435</v>
      </c>
      <c r="H154" s="1">
        <v>688.0603529</v>
      </c>
      <c r="I154" s="1">
        <v>0.70833333300000001</v>
      </c>
      <c r="J154" s="1">
        <v>0.45933964300000002</v>
      </c>
      <c r="K154" s="1">
        <f>(B154+Table810[[#This Row],[grt]])/2</f>
        <v>2183.8052175000003</v>
      </c>
      <c r="L154" s="1">
        <f>(Table810[[#This Row],[prtsd]]+Table810[[#This Row],[grtsd]])/2</f>
        <v>690.38332345000003</v>
      </c>
      <c r="M154" s="1">
        <f>(Table810[[#This Row],[pacc]]+Table810[[#This Row],[gacc]])/2</f>
        <v>0.82416666650000003</v>
      </c>
      <c r="N154" s="1">
        <f>(Table810[[#This Row],[paccsd]]+Table810[[#This Row],[gaccsd]])/2</f>
        <v>0.34961879000000001</v>
      </c>
      <c r="O154">
        <f>Table810[[#This Row],[mrt]]-(Table810[[#This Row],[macc]]*1000)</f>
        <v>1359.6385510000002</v>
      </c>
      <c r="P154" s="9">
        <f>(Table810[[#This Row],[prt]]-Table810[[#This Row],[grt]])</f>
        <v>-6.6504350000000159</v>
      </c>
      <c r="Q154" s="8">
        <f>Table810[[#This Row],[pacc]]-Table810[[#This Row],[gacc]]</f>
        <v>0.23166666699999994</v>
      </c>
      <c r="R154" s="8">
        <f>Table810[[#This Row],[rt_pairing_score]]-Table810[[#This Row],[acc_pairing_score]]</f>
        <v>-6.8821016670000157</v>
      </c>
    </row>
    <row r="155" spans="1:18" x14ac:dyDescent="0.25">
      <c r="A155" t="s">
        <v>133</v>
      </c>
      <c r="B155" s="1">
        <v>2224.938776</v>
      </c>
      <c r="C155" s="1">
        <v>772.33162700000003</v>
      </c>
      <c r="D155" s="1">
        <v>0.85714285700000004</v>
      </c>
      <c r="E155" s="1">
        <v>0.35355339099999999</v>
      </c>
      <c r="F155" s="1">
        <v>71</v>
      </c>
      <c r="G155" s="1">
        <v>2240.553191</v>
      </c>
      <c r="H155" s="1">
        <v>770.68179329999998</v>
      </c>
      <c r="I155" s="1">
        <v>0.89583333300000001</v>
      </c>
      <c r="J155" s="1">
        <v>0.30870927799999998</v>
      </c>
      <c r="K155" s="1">
        <f>(B155+Table810[[#This Row],[grt]])/2</f>
        <v>2232.7459835</v>
      </c>
      <c r="L155" s="1">
        <f>(Table810[[#This Row],[prtsd]]+Table810[[#This Row],[grtsd]])/2</f>
        <v>771.50671015</v>
      </c>
      <c r="M155" s="1">
        <f>(Table810[[#This Row],[pacc]]+Table810[[#This Row],[gacc]])/2</f>
        <v>0.87648809500000002</v>
      </c>
      <c r="N155" s="1">
        <f>(Table810[[#This Row],[paccsd]]+Table810[[#This Row],[gaccsd]])/2</f>
        <v>0.33113133449999999</v>
      </c>
      <c r="O155">
        <f>Table810[[#This Row],[mrt]]-(Table810[[#This Row],[macc]]*1000)</f>
        <v>1356.2578884999998</v>
      </c>
      <c r="P155" s="9">
        <f>(Table810[[#This Row],[prt]]-Table810[[#This Row],[grt]])</f>
        <v>-15.614415000000008</v>
      </c>
      <c r="Q155" s="8">
        <f>Table810[[#This Row],[pacc]]-Table810[[#This Row],[gacc]]</f>
        <v>-3.8690475999999974E-2</v>
      </c>
      <c r="R155" s="8">
        <f>Table810[[#This Row],[rt_pairing_score]]-Table810[[#This Row],[acc_pairing_score]]</f>
        <v>-15.575724524000009</v>
      </c>
    </row>
    <row r="156" spans="1:18" x14ac:dyDescent="0.25">
      <c r="A156" t="s">
        <v>108</v>
      </c>
      <c r="B156" s="1">
        <v>2212.166667</v>
      </c>
      <c r="C156" s="1">
        <v>685.55749430000003</v>
      </c>
      <c r="D156" s="1">
        <v>0.82</v>
      </c>
      <c r="E156" s="1">
        <v>0.38808793400000002</v>
      </c>
      <c r="F156" s="1">
        <v>135</v>
      </c>
      <c r="G156" s="1">
        <v>2199.9787230000002</v>
      </c>
      <c r="H156" s="1">
        <v>684.04968959999997</v>
      </c>
      <c r="I156" s="1">
        <v>0.89583333300000001</v>
      </c>
      <c r="J156" s="1">
        <v>0.30870927799999998</v>
      </c>
      <c r="K156" s="1">
        <f>(B156+Table810[[#This Row],[grt]])/2</f>
        <v>2206.0726949999998</v>
      </c>
      <c r="L156" s="1">
        <f>(Table810[[#This Row],[prtsd]]+Table810[[#This Row],[grtsd]])/2</f>
        <v>684.80359195000005</v>
      </c>
      <c r="M156" s="1">
        <f>(Table810[[#This Row],[pacc]]+Table810[[#This Row],[gacc]])/2</f>
        <v>0.85791666649999998</v>
      </c>
      <c r="N156" s="1">
        <f>(Table810[[#This Row],[paccsd]]+Table810[[#This Row],[gaccsd]])/2</f>
        <v>0.348398606</v>
      </c>
      <c r="O156">
        <f>Table810[[#This Row],[mrt]]-(Table810[[#This Row],[macc]]*1000)</f>
        <v>1348.1560284999998</v>
      </c>
      <c r="P156" s="9">
        <f>(Table810[[#This Row],[prt]]-Table810[[#This Row],[grt]])</f>
        <v>12.187943999999789</v>
      </c>
      <c r="Q156" s="8">
        <f>Table810[[#This Row],[pacc]]-Table810[[#This Row],[gacc]]</f>
        <v>-7.5833333000000058E-2</v>
      </c>
      <c r="R156" s="8">
        <f>Table810[[#This Row],[rt_pairing_score]]-Table810[[#This Row],[acc_pairing_score]]</f>
        <v>12.263777332999789</v>
      </c>
    </row>
    <row r="157" spans="1:18" x14ac:dyDescent="0.25">
      <c r="A157" t="s">
        <v>219</v>
      </c>
      <c r="B157" s="1">
        <v>2191.9183670000002</v>
      </c>
      <c r="C157" s="1">
        <v>800.36944170000004</v>
      </c>
      <c r="D157" s="1">
        <v>0.92</v>
      </c>
      <c r="E157" s="1">
        <v>0.27404751599999999</v>
      </c>
      <c r="F157" s="1">
        <v>845</v>
      </c>
      <c r="G157" s="1">
        <v>2316.8913040000002</v>
      </c>
      <c r="H157" s="1">
        <v>757.53310829999998</v>
      </c>
      <c r="I157" s="1">
        <v>0.89583333300000001</v>
      </c>
      <c r="J157" s="1">
        <v>0.30870927799999998</v>
      </c>
      <c r="K157" s="1">
        <f>(B157+Table810[[#This Row],[grt]])/2</f>
        <v>2254.4048355000004</v>
      </c>
      <c r="L157" s="1">
        <f>(Table810[[#This Row],[prtsd]]+Table810[[#This Row],[grtsd]])/2</f>
        <v>778.95127500000001</v>
      </c>
      <c r="M157" s="1">
        <f>(Table810[[#This Row],[pacc]]+Table810[[#This Row],[gacc]])/2</f>
        <v>0.90791666650000002</v>
      </c>
      <c r="N157" s="1">
        <f>(Table810[[#This Row],[paccsd]]+Table810[[#This Row],[gaccsd]])/2</f>
        <v>0.29137839700000001</v>
      </c>
      <c r="O157">
        <f>Table810[[#This Row],[mrt]]-(Table810[[#This Row],[macc]]*1000)</f>
        <v>1346.4881690000004</v>
      </c>
      <c r="P157" s="9">
        <f>(Table810[[#This Row],[prt]]-Table810[[#This Row],[grt]])</f>
        <v>-124.972937</v>
      </c>
      <c r="Q157" s="8">
        <f>Table810[[#This Row],[pacc]]-Table810[[#This Row],[gacc]]</f>
        <v>2.4166667000000031E-2</v>
      </c>
      <c r="R157" s="8">
        <f>Table810[[#This Row],[rt_pairing_score]]-Table810[[#This Row],[acc_pairing_score]]</f>
        <v>-124.997103667</v>
      </c>
    </row>
    <row r="158" spans="1:18" x14ac:dyDescent="0.25">
      <c r="A158" t="s">
        <v>117</v>
      </c>
      <c r="B158" s="1">
        <v>2110.25</v>
      </c>
      <c r="C158" s="1">
        <v>740.80354590000002</v>
      </c>
      <c r="D158" s="1">
        <v>0.82</v>
      </c>
      <c r="E158" s="1">
        <v>0.38808793400000002</v>
      </c>
      <c r="F158" s="1">
        <v>340</v>
      </c>
      <c r="G158" s="1">
        <v>2214.979167</v>
      </c>
      <c r="H158" s="1">
        <v>732.64282579999997</v>
      </c>
      <c r="I158" s="1">
        <v>0.8125</v>
      </c>
      <c r="J158" s="1">
        <v>0.39444277999999999</v>
      </c>
      <c r="K158" s="1">
        <f>(B158+Table810[[#This Row],[grt]])/2</f>
        <v>2162.6145834999998</v>
      </c>
      <c r="L158" s="1">
        <f>(Table810[[#This Row],[prtsd]]+Table810[[#This Row],[grtsd]])/2</f>
        <v>736.72318584999994</v>
      </c>
      <c r="M158" s="1">
        <f>(Table810[[#This Row],[pacc]]+Table810[[#This Row],[gacc]])/2</f>
        <v>0.81624999999999992</v>
      </c>
      <c r="N158" s="1">
        <f>(Table810[[#This Row],[paccsd]]+Table810[[#This Row],[gaccsd]])/2</f>
        <v>0.39126535699999998</v>
      </c>
      <c r="O158">
        <f>Table810[[#This Row],[mrt]]-(Table810[[#This Row],[macc]]*1000)</f>
        <v>1346.3645834999998</v>
      </c>
      <c r="P158" s="9">
        <f>(Table810[[#This Row],[prt]]-Table810[[#This Row],[grt]])</f>
        <v>-104.72916699999996</v>
      </c>
      <c r="Q158" s="8">
        <f>Table810[[#This Row],[pacc]]-Table810[[#This Row],[gacc]]</f>
        <v>7.4999999999999512E-3</v>
      </c>
      <c r="R158" s="8">
        <f>Table810[[#This Row],[rt_pairing_score]]-Table810[[#This Row],[acc_pairing_score]]</f>
        <v>-104.73666699999995</v>
      </c>
    </row>
    <row r="159" spans="1:18" x14ac:dyDescent="0.25">
      <c r="A159" t="s">
        <v>173</v>
      </c>
      <c r="B159" s="1">
        <v>2276.4081630000001</v>
      </c>
      <c r="C159" s="1">
        <v>810.0804723</v>
      </c>
      <c r="D159" s="1">
        <v>0.89795918399999997</v>
      </c>
      <c r="E159" s="1">
        <v>0.30583887100000001</v>
      </c>
      <c r="F159" s="1">
        <v>242</v>
      </c>
      <c r="G159" s="1">
        <v>2267.5744679999998</v>
      </c>
      <c r="H159" s="1">
        <v>806.42387559999997</v>
      </c>
      <c r="I159" s="1">
        <v>0.95744680900000001</v>
      </c>
      <c r="J159" s="1">
        <v>0.204029709</v>
      </c>
      <c r="K159" s="1">
        <f>(B159+Table810[[#This Row],[grt]])/2</f>
        <v>2271.9913154999999</v>
      </c>
      <c r="L159" s="1">
        <f>(Table810[[#This Row],[prtsd]]+Table810[[#This Row],[grtsd]])/2</f>
        <v>808.25217395000004</v>
      </c>
      <c r="M159" s="1">
        <f>(Table810[[#This Row],[pacc]]+Table810[[#This Row],[gacc]])/2</f>
        <v>0.92770299649999999</v>
      </c>
      <c r="N159" s="1">
        <f>(Table810[[#This Row],[paccsd]]+Table810[[#This Row],[gaccsd]])/2</f>
        <v>0.25493429000000001</v>
      </c>
      <c r="O159">
        <f>Table810[[#This Row],[mrt]]-(Table810[[#This Row],[macc]]*1000)</f>
        <v>1344.2883189999998</v>
      </c>
      <c r="P159" s="9">
        <f>(Table810[[#This Row],[prt]]-Table810[[#This Row],[grt]])</f>
        <v>8.8336950000002616</v>
      </c>
      <c r="Q159" s="8">
        <f>Table810[[#This Row],[pacc]]-Table810[[#This Row],[gacc]]</f>
        <v>-5.9487625000000044E-2</v>
      </c>
      <c r="R159" s="8">
        <f>Table810[[#This Row],[rt_pairing_score]]-Table810[[#This Row],[acc_pairing_score]]</f>
        <v>8.8931826250002608</v>
      </c>
    </row>
    <row r="160" spans="1:18" x14ac:dyDescent="0.25">
      <c r="A160" t="s">
        <v>258</v>
      </c>
      <c r="B160" s="1">
        <v>2304.36</v>
      </c>
      <c r="C160" s="1">
        <v>639.80777599999999</v>
      </c>
      <c r="D160" s="1">
        <v>0.94</v>
      </c>
      <c r="E160" s="1">
        <v>0.23989793700000001</v>
      </c>
      <c r="F160" s="1">
        <v>126</v>
      </c>
      <c r="G160" s="1">
        <v>2299.0625</v>
      </c>
      <c r="H160" s="1">
        <v>626.07362790000002</v>
      </c>
      <c r="I160" s="1">
        <v>0.97916666699999999</v>
      </c>
      <c r="J160" s="1">
        <v>0.144337567</v>
      </c>
      <c r="K160" s="1">
        <f>(B160+Table810[[#This Row],[grt]])/2</f>
        <v>2301.7112500000003</v>
      </c>
      <c r="L160" s="1">
        <f>(Table810[[#This Row],[prtsd]]+Table810[[#This Row],[grtsd]])/2</f>
        <v>632.94070194999995</v>
      </c>
      <c r="M160" s="1">
        <f>(Table810[[#This Row],[pacc]]+Table810[[#This Row],[gacc]])/2</f>
        <v>0.95958333349999991</v>
      </c>
      <c r="N160" s="1">
        <f>(Table810[[#This Row],[paccsd]]+Table810[[#This Row],[gaccsd]])/2</f>
        <v>0.192117752</v>
      </c>
      <c r="O160">
        <f>Table810[[#This Row],[mrt]]-(Table810[[#This Row],[macc]]*1000)</f>
        <v>1342.1279165000005</v>
      </c>
      <c r="P160" s="9">
        <f>(Table810[[#This Row],[prt]]-Table810[[#This Row],[grt]])</f>
        <v>5.2975000000001273</v>
      </c>
      <c r="Q160" s="8">
        <f>Table810[[#This Row],[pacc]]-Table810[[#This Row],[gacc]]</f>
        <v>-3.9166667000000044E-2</v>
      </c>
      <c r="R160" s="8">
        <f>Table810[[#This Row],[rt_pairing_score]]-Table810[[#This Row],[acc_pairing_score]]</f>
        <v>5.3366666670001273</v>
      </c>
    </row>
    <row r="161" spans="1:18" x14ac:dyDescent="0.25">
      <c r="A161" t="s">
        <v>241</v>
      </c>
      <c r="B161" s="1">
        <v>2300.617021</v>
      </c>
      <c r="C161" s="1">
        <v>764.16767890000006</v>
      </c>
      <c r="D161" s="1">
        <v>0.93877551000000004</v>
      </c>
      <c r="E161" s="1">
        <v>0.24222607099999999</v>
      </c>
      <c r="F161" s="1">
        <v>36</v>
      </c>
      <c r="G161" s="1">
        <v>2294.416667</v>
      </c>
      <c r="H161" s="1">
        <v>763.59680330000003</v>
      </c>
      <c r="I161" s="1">
        <v>0.97916666699999999</v>
      </c>
      <c r="J161" s="1">
        <v>0.144337567</v>
      </c>
      <c r="K161" s="1">
        <f>(B161+Table810[[#This Row],[grt]])/2</f>
        <v>2297.5168439999998</v>
      </c>
      <c r="L161" s="1">
        <f>(Table810[[#This Row],[prtsd]]+Table810[[#This Row],[grtsd]])/2</f>
        <v>763.8822411000001</v>
      </c>
      <c r="M161" s="1">
        <f>(Table810[[#This Row],[pacc]]+Table810[[#This Row],[gacc]])/2</f>
        <v>0.95897108850000001</v>
      </c>
      <c r="N161" s="1">
        <f>(Table810[[#This Row],[paccsd]]+Table810[[#This Row],[gaccsd]])/2</f>
        <v>0.19328181899999999</v>
      </c>
      <c r="O161">
        <f>Table810[[#This Row],[mrt]]-(Table810[[#This Row],[macc]]*1000)</f>
        <v>1338.5457554999998</v>
      </c>
      <c r="P161" s="9">
        <f>(Table810[[#This Row],[prt]]-Table810[[#This Row],[grt]])</f>
        <v>6.2003540000000612</v>
      </c>
      <c r="Q161" s="8">
        <f>Table810[[#This Row],[pacc]]-Table810[[#This Row],[gacc]]</f>
        <v>-4.0391156999999955E-2</v>
      </c>
      <c r="R161" s="8">
        <f>Table810[[#This Row],[rt_pairing_score]]-Table810[[#This Row],[acc_pairing_score]]</f>
        <v>6.2407451570000614</v>
      </c>
    </row>
    <row r="162" spans="1:18" x14ac:dyDescent="0.25">
      <c r="A162" t="s">
        <v>62</v>
      </c>
      <c r="B162" s="1">
        <v>2094.708333</v>
      </c>
      <c r="C162" s="1">
        <v>772.86430389999998</v>
      </c>
      <c r="D162" s="1">
        <v>0.73469387799999997</v>
      </c>
      <c r="E162" s="1">
        <v>0.44607128600000001</v>
      </c>
      <c r="F162" s="1">
        <v>483</v>
      </c>
      <c r="G162" s="1">
        <v>2266.5744679999998</v>
      </c>
      <c r="H162" s="1">
        <v>728.23872530000006</v>
      </c>
      <c r="I162" s="1">
        <v>0.95744680900000001</v>
      </c>
      <c r="J162" s="1">
        <v>0.204029709</v>
      </c>
      <c r="K162" s="1">
        <f>(B162+Table810[[#This Row],[grt]])/2</f>
        <v>2180.6414004999997</v>
      </c>
      <c r="L162" s="1">
        <f>(Table810[[#This Row],[prtsd]]+Table810[[#This Row],[grtsd]])/2</f>
        <v>750.55151460000002</v>
      </c>
      <c r="M162" s="1">
        <f>(Table810[[#This Row],[pacc]]+Table810[[#This Row],[gacc]])/2</f>
        <v>0.84607034349999999</v>
      </c>
      <c r="N162" s="1">
        <f>(Table810[[#This Row],[paccsd]]+Table810[[#This Row],[gaccsd]])/2</f>
        <v>0.32505049750000004</v>
      </c>
      <c r="O162">
        <f>Table810[[#This Row],[mrt]]-(Table810[[#This Row],[macc]]*1000)</f>
        <v>1334.5710569999997</v>
      </c>
      <c r="P162" s="9">
        <f>(Table810[[#This Row],[prt]]-Table810[[#This Row],[grt]])</f>
        <v>-171.86613499999976</v>
      </c>
      <c r="Q162" s="8">
        <f>Table810[[#This Row],[pacc]]-Table810[[#This Row],[gacc]]</f>
        <v>-0.22275293100000004</v>
      </c>
      <c r="R162" s="8">
        <f>Table810[[#This Row],[rt_pairing_score]]-Table810[[#This Row],[acc_pairing_score]]</f>
        <v>-171.64338206899976</v>
      </c>
    </row>
    <row r="163" spans="1:18" x14ac:dyDescent="0.25">
      <c r="A163" t="s">
        <v>196</v>
      </c>
      <c r="B163" s="1">
        <v>2233.5</v>
      </c>
      <c r="C163" s="1">
        <v>776.5852969</v>
      </c>
      <c r="D163" s="1">
        <v>0.91666666699999999</v>
      </c>
      <c r="E163" s="1">
        <v>0.27931019400000001</v>
      </c>
      <c r="F163" s="1">
        <v>127</v>
      </c>
      <c r="G163" s="1">
        <v>2247.3125</v>
      </c>
      <c r="H163" s="1">
        <v>786.33708209999998</v>
      </c>
      <c r="I163" s="1">
        <v>0.89583333300000001</v>
      </c>
      <c r="J163" s="1">
        <v>0.30870927799999998</v>
      </c>
      <c r="K163" s="1">
        <f>(B163+Table810[[#This Row],[grt]])/2</f>
        <v>2240.40625</v>
      </c>
      <c r="L163" s="1">
        <f>(Table810[[#This Row],[prtsd]]+Table810[[#This Row],[grtsd]])/2</f>
        <v>781.46118950000005</v>
      </c>
      <c r="M163" s="1">
        <f>(Table810[[#This Row],[pacc]]+Table810[[#This Row],[gacc]])/2</f>
        <v>0.90625</v>
      </c>
      <c r="N163" s="1">
        <f>(Table810[[#This Row],[paccsd]]+Table810[[#This Row],[gaccsd]])/2</f>
        <v>0.29400973600000002</v>
      </c>
      <c r="O163">
        <f>Table810[[#This Row],[mrt]]-(Table810[[#This Row],[macc]]*1000)</f>
        <v>1334.15625</v>
      </c>
      <c r="P163" s="9">
        <f>(Table810[[#This Row],[prt]]-Table810[[#This Row],[grt]])</f>
        <v>-13.8125</v>
      </c>
      <c r="Q163" s="8">
        <f>Table810[[#This Row],[pacc]]-Table810[[#This Row],[gacc]]</f>
        <v>2.0833333999999981E-2</v>
      </c>
      <c r="R163" s="8">
        <f>Table810[[#This Row],[rt_pairing_score]]-Table810[[#This Row],[acc_pairing_score]]</f>
        <v>-13.833333334000001</v>
      </c>
    </row>
    <row r="164" spans="1:18" x14ac:dyDescent="0.25">
      <c r="A164" t="s">
        <v>126</v>
      </c>
      <c r="B164" s="1">
        <v>2011.74</v>
      </c>
      <c r="C164" s="1">
        <v>820.58706729999994</v>
      </c>
      <c r="D164" s="1">
        <v>0.84</v>
      </c>
      <c r="E164" s="1">
        <v>0.37032804000000002</v>
      </c>
      <c r="F164" s="1">
        <v>171</v>
      </c>
      <c r="G164" s="1">
        <v>2411.8125</v>
      </c>
      <c r="H164" s="1">
        <v>784.86165349999999</v>
      </c>
      <c r="I164" s="1">
        <v>0.91666666699999999</v>
      </c>
      <c r="J164" s="1">
        <v>0.27931019400000001</v>
      </c>
      <c r="K164" s="1">
        <f>(B164+Table810[[#This Row],[grt]])/2</f>
        <v>2211.7762499999999</v>
      </c>
      <c r="L164" s="1">
        <f>(Table810[[#This Row],[prtsd]]+Table810[[#This Row],[grtsd]])/2</f>
        <v>802.72436040000002</v>
      </c>
      <c r="M164" s="1">
        <f>(Table810[[#This Row],[pacc]]+Table810[[#This Row],[gacc]])/2</f>
        <v>0.87833333349999998</v>
      </c>
      <c r="N164" s="1">
        <f>(Table810[[#This Row],[paccsd]]+Table810[[#This Row],[gaccsd]])/2</f>
        <v>0.32481911699999999</v>
      </c>
      <c r="O164">
        <f>Table810[[#This Row],[mrt]]-(Table810[[#This Row],[macc]]*1000)</f>
        <v>1333.4429164999999</v>
      </c>
      <c r="P164" s="9">
        <f>(Table810[[#This Row],[prt]]-Table810[[#This Row],[grt]])</f>
        <v>-400.07249999999999</v>
      </c>
      <c r="Q164" s="8">
        <f>Table810[[#This Row],[pacc]]-Table810[[#This Row],[gacc]]</f>
        <v>-7.6666667000000022E-2</v>
      </c>
      <c r="R164" s="8">
        <f>Table810[[#This Row],[rt_pairing_score]]-Table810[[#This Row],[acc_pairing_score]]</f>
        <v>-399.99583333300001</v>
      </c>
    </row>
    <row r="165" spans="1:18" x14ac:dyDescent="0.25">
      <c r="A165" t="s">
        <v>311</v>
      </c>
      <c r="B165" s="1">
        <v>2313.2653059999998</v>
      </c>
      <c r="C165" s="1">
        <v>587.96597750000001</v>
      </c>
      <c r="D165" s="1">
        <v>0.96</v>
      </c>
      <c r="E165" s="1">
        <v>0.197948664</v>
      </c>
      <c r="F165" s="1">
        <v>402</v>
      </c>
      <c r="G165" s="1">
        <v>2290.208333</v>
      </c>
      <c r="H165" s="1">
        <v>596.69704200000001</v>
      </c>
      <c r="I165" s="1">
        <v>0.97916666699999999</v>
      </c>
      <c r="J165" s="1">
        <v>0.144337567</v>
      </c>
      <c r="K165" s="1">
        <f>(B165+Table810[[#This Row],[grt]])/2</f>
        <v>2301.7368194999999</v>
      </c>
      <c r="L165" s="1">
        <f>(Table810[[#This Row],[prtsd]]+Table810[[#This Row],[grtsd]])/2</f>
        <v>592.33150975000001</v>
      </c>
      <c r="M165" s="1">
        <f>(Table810[[#This Row],[pacc]]+Table810[[#This Row],[gacc]])/2</f>
        <v>0.96958333349999992</v>
      </c>
      <c r="N165" s="1">
        <f>(Table810[[#This Row],[paccsd]]+Table810[[#This Row],[gaccsd]])/2</f>
        <v>0.1711431155</v>
      </c>
      <c r="O165">
        <f>Table810[[#This Row],[mrt]]-(Table810[[#This Row],[macc]]*1000)</f>
        <v>1332.1534860000002</v>
      </c>
      <c r="P165" s="9">
        <f>(Table810[[#This Row],[prt]]-Table810[[#This Row],[grt]])</f>
        <v>23.056972999999743</v>
      </c>
      <c r="Q165" s="8">
        <f>Table810[[#This Row],[pacc]]-Table810[[#This Row],[gacc]]</f>
        <v>-1.9166667000000026E-2</v>
      </c>
      <c r="R165" s="8">
        <f>Table810[[#This Row],[rt_pairing_score]]-Table810[[#This Row],[acc_pairing_score]]</f>
        <v>23.076139666999744</v>
      </c>
    </row>
    <row r="166" spans="1:18" x14ac:dyDescent="0.25">
      <c r="A166" t="s">
        <v>181</v>
      </c>
      <c r="B166" s="1">
        <v>2248.693878</v>
      </c>
      <c r="C166" s="1">
        <v>798.63029110000002</v>
      </c>
      <c r="D166" s="1">
        <v>0.9</v>
      </c>
      <c r="E166" s="1">
        <v>0.30304576300000002</v>
      </c>
      <c r="F166" s="1">
        <v>387</v>
      </c>
      <c r="G166" s="1">
        <v>2249.913043</v>
      </c>
      <c r="H166" s="1">
        <v>801.07496739999999</v>
      </c>
      <c r="I166" s="1">
        <v>0.93617021300000003</v>
      </c>
      <c r="J166" s="1">
        <v>0.24709224799999999</v>
      </c>
      <c r="K166" s="1">
        <f>(B166+Table810[[#This Row],[grt]])/2</f>
        <v>2249.3034605000003</v>
      </c>
      <c r="L166" s="1">
        <f>(Table810[[#This Row],[prtsd]]+Table810[[#This Row],[grtsd]])/2</f>
        <v>799.85262925000006</v>
      </c>
      <c r="M166" s="1">
        <f>(Table810[[#This Row],[pacc]]+Table810[[#This Row],[gacc]])/2</f>
        <v>0.91808510649999997</v>
      </c>
      <c r="N166" s="1">
        <f>(Table810[[#This Row],[paccsd]]+Table810[[#This Row],[gaccsd]])/2</f>
        <v>0.27506900550000002</v>
      </c>
      <c r="O166">
        <f>Table810[[#This Row],[mrt]]-(Table810[[#This Row],[macc]]*1000)</f>
        <v>1331.2183540000003</v>
      </c>
      <c r="P166" s="9">
        <f>(Table810[[#This Row],[prt]]-Table810[[#This Row],[grt]])</f>
        <v>-1.2191649999999754</v>
      </c>
      <c r="Q166" s="8">
        <f>Table810[[#This Row],[pacc]]-Table810[[#This Row],[gacc]]</f>
        <v>-3.6170213000000007E-2</v>
      </c>
      <c r="R166" s="8">
        <f>Table810[[#This Row],[rt_pairing_score]]-Table810[[#This Row],[acc_pairing_score]]</f>
        <v>-1.1829947869999753</v>
      </c>
    </row>
    <row r="167" spans="1:18" x14ac:dyDescent="0.25">
      <c r="A167" t="s">
        <v>197</v>
      </c>
      <c r="B167" s="1">
        <v>2216.7173910000001</v>
      </c>
      <c r="C167" s="1">
        <v>749.416652</v>
      </c>
      <c r="D167" s="1">
        <v>0.91666666699999999</v>
      </c>
      <c r="E167" s="1">
        <v>0.27931019400000001</v>
      </c>
      <c r="F167" s="1">
        <v>150</v>
      </c>
      <c r="G167" s="1">
        <v>2254.7173910000001</v>
      </c>
      <c r="H167" s="1">
        <v>741.22339299999999</v>
      </c>
      <c r="I167" s="1">
        <v>0.89583333300000001</v>
      </c>
      <c r="J167" s="1">
        <v>0.30870927799999998</v>
      </c>
      <c r="K167" s="1">
        <f>(B167+Table810[[#This Row],[grt]])/2</f>
        <v>2235.7173910000001</v>
      </c>
      <c r="L167" s="1">
        <f>(Table810[[#This Row],[prtsd]]+Table810[[#This Row],[grtsd]])/2</f>
        <v>745.32002250000005</v>
      </c>
      <c r="M167" s="1">
        <f>(Table810[[#This Row],[pacc]]+Table810[[#This Row],[gacc]])/2</f>
        <v>0.90625</v>
      </c>
      <c r="N167" s="1">
        <f>(Table810[[#This Row],[paccsd]]+Table810[[#This Row],[gaccsd]])/2</f>
        <v>0.29400973600000002</v>
      </c>
      <c r="O167">
        <f>Table810[[#This Row],[mrt]]-(Table810[[#This Row],[macc]]*1000)</f>
        <v>1329.4673910000001</v>
      </c>
      <c r="P167" s="9">
        <f>(Table810[[#This Row],[prt]]-Table810[[#This Row],[grt]])</f>
        <v>-38</v>
      </c>
      <c r="Q167" s="8">
        <f>Table810[[#This Row],[pacc]]-Table810[[#This Row],[gacc]]</f>
        <v>2.0833333999999981E-2</v>
      </c>
      <c r="R167" s="8">
        <f>Table810[[#This Row],[rt_pairing_score]]-Table810[[#This Row],[acc_pairing_score]]</f>
        <v>-38.020833334000002</v>
      </c>
    </row>
    <row r="168" spans="1:18" x14ac:dyDescent="0.25">
      <c r="A168" t="s">
        <v>140</v>
      </c>
      <c r="B168" s="1">
        <v>2171.468085</v>
      </c>
      <c r="C168" s="1">
        <v>758.23911710000004</v>
      </c>
      <c r="D168" s="1">
        <v>0.875</v>
      </c>
      <c r="E168" s="1">
        <v>0.33421868199999999</v>
      </c>
      <c r="F168" s="1">
        <v>428</v>
      </c>
      <c r="G168" s="1">
        <v>2153.666667</v>
      </c>
      <c r="H168" s="1">
        <v>753.02339070000005</v>
      </c>
      <c r="I168" s="1">
        <v>0.79166666699999999</v>
      </c>
      <c r="J168" s="1">
        <v>0.41041407899999999</v>
      </c>
      <c r="K168" s="1">
        <f>(B168+Table810[[#This Row],[grt]])/2</f>
        <v>2162.567376</v>
      </c>
      <c r="L168" s="1">
        <f>(Table810[[#This Row],[prtsd]]+Table810[[#This Row],[grtsd]])/2</f>
        <v>755.63125390000005</v>
      </c>
      <c r="M168" s="1">
        <f>(Table810[[#This Row],[pacc]]+Table810[[#This Row],[gacc]])/2</f>
        <v>0.83333333349999994</v>
      </c>
      <c r="N168" s="1">
        <f>(Table810[[#This Row],[paccsd]]+Table810[[#This Row],[gaccsd]])/2</f>
        <v>0.37231638049999999</v>
      </c>
      <c r="O168">
        <f>Table810[[#This Row],[mrt]]-(Table810[[#This Row],[macc]]*1000)</f>
        <v>1329.2340425</v>
      </c>
      <c r="P168" s="9">
        <f>(Table810[[#This Row],[prt]]-Table810[[#This Row],[grt]])</f>
        <v>17.801418000000012</v>
      </c>
      <c r="Q168" s="8">
        <f>Table810[[#This Row],[pacc]]-Table810[[#This Row],[gacc]]</f>
        <v>8.3333333000000009E-2</v>
      </c>
      <c r="R168" s="8">
        <f>Table810[[#This Row],[rt_pairing_score]]-Table810[[#This Row],[acc_pairing_score]]</f>
        <v>17.718084667000014</v>
      </c>
    </row>
    <row r="169" spans="1:18" x14ac:dyDescent="0.25">
      <c r="A169" t="s">
        <v>212</v>
      </c>
      <c r="B169" s="1">
        <v>2214.306122</v>
      </c>
      <c r="C169" s="1">
        <v>658.72130560000005</v>
      </c>
      <c r="D169" s="1">
        <v>0.918367347</v>
      </c>
      <c r="E169" s="1">
        <v>0.27664166800000001</v>
      </c>
      <c r="F169" s="1">
        <v>613</v>
      </c>
      <c r="G169" s="1">
        <v>2205.9361699999999</v>
      </c>
      <c r="H169" s="1">
        <v>657.06678250000004</v>
      </c>
      <c r="I169" s="1">
        <v>0.85106382999999997</v>
      </c>
      <c r="J169" s="1">
        <v>0.35987458</v>
      </c>
      <c r="K169" s="1">
        <f>(B169+Table810[[#This Row],[grt]])/2</f>
        <v>2210.121146</v>
      </c>
      <c r="L169" s="1">
        <f>(Table810[[#This Row],[prtsd]]+Table810[[#This Row],[grtsd]])/2</f>
        <v>657.89404405000005</v>
      </c>
      <c r="M169" s="1">
        <f>(Table810[[#This Row],[pacc]]+Table810[[#This Row],[gacc]])/2</f>
        <v>0.88471558849999998</v>
      </c>
      <c r="N169" s="1">
        <f>(Table810[[#This Row],[paccsd]]+Table810[[#This Row],[gaccsd]])/2</f>
        <v>0.31825812399999998</v>
      </c>
      <c r="O169">
        <f>Table810[[#This Row],[mrt]]-(Table810[[#This Row],[macc]]*1000)</f>
        <v>1325.4055575</v>
      </c>
      <c r="P169" s="9">
        <f>(Table810[[#This Row],[prt]]-Table810[[#This Row],[grt]])</f>
        <v>8.369952000000012</v>
      </c>
      <c r="Q169" s="8">
        <f>Table810[[#This Row],[pacc]]-Table810[[#This Row],[gacc]]</f>
        <v>6.7303517000000035E-2</v>
      </c>
      <c r="R169" s="8">
        <f>Table810[[#This Row],[rt_pairing_score]]-Table810[[#This Row],[acc_pairing_score]]</f>
        <v>8.3026484830000129</v>
      </c>
    </row>
    <row r="170" spans="1:18" x14ac:dyDescent="0.25">
      <c r="A170" t="s">
        <v>148</v>
      </c>
      <c r="B170" s="1">
        <v>2213.9565219999999</v>
      </c>
      <c r="C170" s="1">
        <v>760.64478369999995</v>
      </c>
      <c r="D170" s="1">
        <v>0.87755101999999996</v>
      </c>
      <c r="E170" s="1">
        <v>0.33120066100000001</v>
      </c>
      <c r="F170" s="1">
        <v>79</v>
      </c>
      <c r="G170" s="1">
        <v>2230.7021279999999</v>
      </c>
      <c r="H170" s="1">
        <v>762.69353679999995</v>
      </c>
      <c r="I170" s="1">
        <v>0.91666666699999999</v>
      </c>
      <c r="J170" s="1">
        <v>0.27931019400000001</v>
      </c>
      <c r="K170" s="1">
        <f>(B170+Table810[[#This Row],[grt]])/2</f>
        <v>2222.3293249999997</v>
      </c>
      <c r="L170" s="1">
        <f>(Table810[[#This Row],[prtsd]]+Table810[[#This Row],[grtsd]])/2</f>
        <v>761.66916025</v>
      </c>
      <c r="M170" s="1">
        <f>(Table810[[#This Row],[pacc]]+Table810[[#This Row],[gacc]])/2</f>
        <v>0.89710884349999998</v>
      </c>
      <c r="N170" s="1">
        <f>(Table810[[#This Row],[paccsd]]+Table810[[#This Row],[gaccsd]])/2</f>
        <v>0.30525542750000001</v>
      </c>
      <c r="O170">
        <f>Table810[[#This Row],[mrt]]-(Table810[[#This Row],[macc]]*1000)</f>
        <v>1325.2204814999998</v>
      </c>
      <c r="P170" s="9">
        <f>(Table810[[#This Row],[prt]]-Table810[[#This Row],[grt]])</f>
        <v>-16.745605999999952</v>
      </c>
      <c r="Q170" s="8">
        <f>Table810[[#This Row],[pacc]]-Table810[[#This Row],[gacc]]</f>
        <v>-3.9115647000000031E-2</v>
      </c>
      <c r="R170" s="8">
        <f>Table810[[#This Row],[rt_pairing_score]]-Table810[[#This Row],[acc_pairing_score]]</f>
        <v>-16.706490352999953</v>
      </c>
    </row>
    <row r="171" spans="1:18" x14ac:dyDescent="0.25">
      <c r="A171" t="s">
        <v>169</v>
      </c>
      <c r="B171" s="1">
        <v>2226.914894</v>
      </c>
      <c r="C171" s="1">
        <v>832.46043980000002</v>
      </c>
      <c r="D171" s="1">
        <v>0.89795918399999997</v>
      </c>
      <c r="E171" s="1">
        <v>0.30583887100000001</v>
      </c>
      <c r="F171" s="1">
        <v>168</v>
      </c>
      <c r="G171" s="1">
        <v>2268.729167</v>
      </c>
      <c r="H171" s="1">
        <v>840.83536830000003</v>
      </c>
      <c r="I171" s="1">
        <v>0.95833333300000001</v>
      </c>
      <c r="J171" s="1">
        <v>0.20194093699999999</v>
      </c>
      <c r="K171" s="1">
        <f>(B171+Table810[[#This Row],[grt]])/2</f>
        <v>2247.8220305</v>
      </c>
      <c r="L171" s="1">
        <f>(Table810[[#This Row],[prtsd]]+Table810[[#This Row],[grtsd]])/2</f>
        <v>836.64790405000008</v>
      </c>
      <c r="M171" s="1">
        <f>(Table810[[#This Row],[pacc]]+Table810[[#This Row],[gacc]])/2</f>
        <v>0.92814625849999999</v>
      </c>
      <c r="N171" s="1">
        <f>(Table810[[#This Row],[paccsd]]+Table810[[#This Row],[gaccsd]])/2</f>
        <v>0.253889904</v>
      </c>
      <c r="O171">
        <f>Table810[[#This Row],[mrt]]-(Table810[[#This Row],[macc]]*1000)</f>
        <v>1319.6757720000001</v>
      </c>
      <c r="P171" s="9">
        <f>(Table810[[#This Row],[prt]]-Table810[[#This Row],[grt]])</f>
        <v>-41.814272999999957</v>
      </c>
      <c r="Q171" s="8">
        <f>Table810[[#This Row],[pacc]]-Table810[[#This Row],[gacc]]</f>
        <v>-6.0374149000000044E-2</v>
      </c>
      <c r="R171" s="8">
        <f>Table810[[#This Row],[rt_pairing_score]]-Table810[[#This Row],[acc_pairing_score]]</f>
        <v>-41.75389885099996</v>
      </c>
    </row>
    <row r="172" spans="1:18" x14ac:dyDescent="0.25">
      <c r="A172" t="s">
        <v>139</v>
      </c>
      <c r="B172" s="1">
        <v>2226.86</v>
      </c>
      <c r="C172" s="1">
        <v>733.23596469999995</v>
      </c>
      <c r="D172" s="1">
        <v>0.86</v>
      </c>
      <c r="E172" s="1">
        <v>0.35050983299999999</v>
      </c>
      <c r="F172" s="1">
        <v>516</v>
      </c>
      <c r="G172" s="1">
        <v>2227.479167</v>
      </c>
      <c r="H172" s="1">
        <v>731.73344150000003</v>
      </c>
      <c r="I172" s="1">
        <v>0.95833333300000001</v>
      </c>
      <c r="J172" s="1">
        <v>0.20194093699999999</v>
      </c>
      <c r="K172" s="1">
        <f>(B172+Table810[[#This Row],[grt]])/2</f>
        <v>2227.1695835</v>
      </c>
      <c r="L172" s="1">
        <f>(Table810[[#This Row],[prtsd]]+Table810[[#This Row],[grtsd]])/2</f>
        <v>732.48470309999993</v>
      </c>
      <c r="M172" s="1">
        <f>(Table810[[#This Row],[pacc]]+Table810[[#This Row],[gacc]])/2</f>
        <v>0.9091666665</v>
      </c>
      <c r="N172" s="1">
        <f>(Table810[[#This Row],[paccsd]]+Table810[[#This Row],[gaccsd]])/2</f>
        <v>0.27622538499999999</v>
      </c>
      <c r="O172">
        <f>Table810[[#This Row],[mrt]]-(Table810[[#This Row],[macc]]*1000)</f>
        <v>1318.002917</v>
      </c>
      <c r="P172" s="9">
        <f>(Table810[[#This Row],[prt]]-Table810[[#This Row],[grt]])</f>
        <v>-0.61916699999983393</v>
      </c>
      <c r="Q172" s="8">
        <f>Table810[[#This Row],[pacc]]-Table810[[#This Row],[gacc]]</f>
        <v>-9.8333333000000023E-2</v>
      </c>
      <c r="R172" s="8">
        <f>Table810[[#This Row],[rt_pairing_score]]-Table810[[#This Row],[acc_pairing_score]]</f>
        <v>-0.52083366699983391</v>
      </c>
    </row>
    <row r="173" spans="1:18" x14ac:dyDescent="0.25">
      <c r="A173" t="s">
        <v>95</v>
      </c>
      <c r="B173" s="1">
        <v>2194.604167</v>
      </c>
      <c r="C173" s="1">
        <v>763.28890100000001</v>
      </c>
      <c r="D173" s="1">
        <v>0.79591836699999996</v>
      </c>
      <c r="E173" s="1">
        <v>0.40720550900000002</v>
      </c>
      <c r="F173" s="1">
        <v>325</v>
      </c>
      <c r="G173" s="1">
        <v>2192.3125</v>
      </c>
      <c r="H173" s="1">
        <v>762.02049890000001</v>
      </c>
      <c r="I173" s="1">
        <v>0.95833333300000001</v>
      </c>
      <c r="J173" s="1">
        <v>0.20194093699999999</v>
      </c>
      <c r="K173" s="1">
        <f>(B173+Table810[[#This Row],[grt]])/2</f>
        <v>2193.4583334999998</v>
      </c>
      <c r="L173" s="1">
        <f>(Table810[[#This Row],[prtsd]]+Table810[[#This Row],[grtsd]])/2</f>
        <v>762.65469995000001</v>
      </c>
      <c r="M173" s="1">
        <f>(Table810[[#This Row],[pacc]]+Table810[[#This Row],[gacc]])/2</f>
        <v>0.87712584999999998</v>
      </c>
      <c r="N173" s="1">
        <f>(Table810[[#This Row],[paccsd]]+Table810[[#This Row],[gaccsd]])/2</f>
        <v>0.304573223</v>
      </c>
      <c r="O173">
        <f>Table810[[#This Row],[mrt]]-(Table810[[#This Row],[macc]]*1000)</f>
        <v>1316.3324834999999</v>
      </c>
      <c r="P173" s="9">
        <f>(Table810[[#This Row],[prt]]-Table810[[#This Row],[grt]])</f>
        <v>2.2916669999999613</v>
      </c>
      <c r="Q173" s="8">
        <f>Table810[[#This Row],[pacc]]-Table810[[#This Row],[gacc]]</f>
        <v>-0.16241496600000005</v>
      </c>
      <c r="R173" s="8">
        <f>Table810[[#This Row],[rt_pairing_score]]-Table810[[#This Row],[acc_pairing_score]]</f>
        <v>2.4540819659999613</v>
      </c>
    </row>
    <row r="174" spans="1:18" x14ac:dyDescent="0.25">
      <c r="A174" t="s">
        <v>307</v>
      </c>
      <c r="B174" s="1">
        <v>2262.2800000000002</v>
      </c>
      <c r="C174" s="1">
        <v>684.50342609999996</v>
      </c>
      <c r="D174" s="1">
        <v>0.96</v>
      </c>
      <c r="E174" s="1">
        <v>0.197948664</v>
      </c>
      <c r="F174" s="1">
        <v>130</v>
      </c>
      <c r="G174" s="1">
        <v>2244.7021279999999</v>
      </c>
      <c r="H174" s="1">
        <v>686.94813150000004</v>
      </c>
      <c r="I174" s="1">
        <v>0.91666666699999999</v>
      </c>
      <c r="J174" s="1">
        <v>0.27931019400000001</v>
      </c>
      <c r="K174" s="1">
        <f>(B174+Table810[[#This Row],[grt]])/2</f>
        <v>2253.4910639999998</v>
      </c>
      <c r="L174" s="1">
        <f>(Table810[[#This Row],[prtsd]]+Table810[[#This Row],[grtsd]])/2</f>
        <v>685.72577879999994</v>
      </c>
      <c r="M174" s="1">
        <f>(Table810[[#This Row],[pacc]]+Table810[[#This Row],[gacc]])/2</f>
        <v>0.93833333349999992</v>
      </c>
      <c r="N174" s="1">
        <f>(Table810[[#This Row],[paccsd]]+Table810[[#This Row],[gaccsd]])/2</f>
        <v>0.238629429</v>
      </c>
      <c r="O174">
        <f>Table810[[#This Row],[mrt]]-(Table810[[#This Row],[macc]]*1000)</f>
        <v>1315.1577305000001</v>
      </c>
      <c r="P174" s="9">
        <f>(Table810[[#This Row],[prt]]-Table810[[#This Row],[grt]])</f>
        <v>17.577872000000298</v>
      </c>
      <c r="Q174" s="8">
        <f>Table810[[#This Row],[pacc]]-Table810[[#This Row],[gacc]]</f>
        <v>4.3333332999999974E-2</v>
      </c>
      <c r="R174" s="8">
        <f>Table810[[#This Row],[rt_pairing_score]]-Table810[[#This Row],[acc_pairing_score]]</f>
        <v>17.534538667000298</v>
      </c>
    </row>
    <row r="175" spans="1:18" x14ac:dyDescent="0.25">
      <c r="A175" t="s">
        <v>325</v>
      </c>
      <c r="B175" s="1">
        <v>2230.02</v>
      </c>
      <c r="C175" s="1">
        <v>672.18842989999996</v>
      </c>
      <c r="D175" s="1">
        <v>0.96</v>
      </c>
      <c r="E175" s="1">
        <v>0.197948664</v>
      </c>
      <c r="F175" s="1">
        <v>46</v>
      </c>
      <c r="G175" s="1">
        <v>2233.9347830000002</v>
      </c>
      <c r="H175" s="1">
        <v>671.98642189999998</v>
      </c>
      <c r="I175" s="1">
        <v>0.875</v>
      </c>
      <c r="J175" s="1">
        <v>0.33421868199999999</v>
      </c>
      <c r="K175" s="1">
        <f>(B175+Table810[[#This Row],[grt]])/2</f>
        <v>2231.9773915000001</v>
      </c>
      <c r="L175" s="1">
        <f>(Table810[[#This Row],[prtsd]]+Table810[[#This Row],[grtsd]])/2</f>
        <v>672.08742589999997</v>
      </c>
      <c r="M175" s="1">
        <f>(Table810[[#This Row],[pacc]]+Table810[[#This Row],[gacc]])/2</f>
        <v>0.91749999999999998</v>
      </c>
      <c r="N175" s="1">
        <f>(Table810[[#This Row],[paccsd]]+Table810[[#This Row],[gaccsd]])/2</f>
        <v>0.26608367300000002</v>
      </c>
      <c r="O175">
        <f>Table810[[#This Row],[mrt]]-(Table810[[#This Row],[macc]]*1000)</f>
        <v>1314.4773915000001</v>
      </c>
      <c r="P175" s="9">
        <f>(Table810[[#This Row],[prt]]-Table810[[#This Row],[grt]])</f>
        <v>-3.9147830000001704</v>
      </c>
      <c r="Q175" s="8">
        <f>Table810[[#This Row],[pacc]]-Table810[[#This Row],[gacc]]</f>
        <v>8.4999999999999964E-2</v>
      </c>
      <c r="R175" s="8">
        <f>Table810[[#This Row],[rt_pairing_score]]-Table810[[#This Row],[acc_pairing_score]]</f>
        <v>-3.9997830000001704</v>
      </c>
    </row>
    <row r="176" spans="1:18" x14ac:dyDescent="0.25">
      <c r="A176" t="s">
        <v>300</v>
      </c>
      <c r="B176" s="1">
        <v>2190.6734689999998</v>
      </c>
      <c r="C176" s="1">
        <v>717.69342310000002</v>
      </c>
      <c r="D176" s="1">
        <v>0.95918367299999996</v>
      </c>
      <c r="E176" s="1">
        <v>0.19991494800000001</v>
      </c>
      <c r="F176" s="1">
        <v>695</v>
      </c>
      <c r="G176" s="1">
        <v>2200.1739130000001</v>
      </c>
      <c r="H176" s="1">
        <v>715.9450104</v>
      </c>
      <c r="I176" s="1">
        <v>0.8125</v>
      </c>
      <c r="J176" s="1">
        <v>0.39444277999999999</v>
      </c>
      <c r="K176" s="1">
        <f>(B176+Table810[[#This Row],[grt]])/2</f>
        <v>2195.423691</v>
      </c>
      <c r="L176" s="1">
        <f>(Table810[[#This Row],[prtsd]]+Table810[[#This Row],[grtsd]])/2</f>
        <v>716.81921675000001</v>
      </c>
      <c r="M176" s="1">
        <f>(Table810[[#This Row],[pacc]]+Table810[[#This Row],[gacc]])/2</f>
        <v>0.88584183650000003</v>
      </c>
      <c r="N176" s="1">
        <f>(Table810[[#This Row],[paccsd]]+Table810[[#This Row],[gaccsd]])/2</f>
        <v>0.29717886399999999</v>
      </c>
      <c r="O176">
        <f>Table810[[#This Row],[mrt]]-(Table810[[#This Row],[macc]]*1000)</f>
        <v>1309.5818545</v>
      </c>
      <c r="P176" s="9">
        <f>(Table810[[#This Row],[prt]]-Table810[[#This Row],[grt]])</f>
        <v>-9.5004440000002432</v>
      </c>
      <c r="Q176" s="8">
        <f>Table810[[#This Row],[pacc]]-Table810[[#This Row],[gacc]]</f>
        <v>0.14668367299999996</v>
      </c>
      <c r="R176" s="8">
        <f>Table810[[#This Row],[rt_pairing_score]]-Table810[[#This Row],[acc_pairing_score]]</f>
        <v>-9.6471276730002433</v>
      </c>
    </row>
    <row r="177" spans="1:18" x14ac:dyDescent="0.25">
      <c r="A177" t="s">
        <v>183</v>
      </c>
      <c r="B177" s="1">
        <v>2076.083333</v>
      </c>
      <c r="C177" s="1">
        <v>827.87836589999995</v>
      </c>
      <c r="D177" s="1">
        <v>0.9</v>
      </c>
      <c r="E177" s="1">
        <v>0.30304576300000002</v>
      </c>
      <c r="F177" s="1">
        <v>599</v>
      </c>
      <c r="G177" s="1">
        <v>2400.1875</v>
      </c>
      <c r="H177" s="1">
        <v>786.78263930000003</v>
      </c>
      <c r="I177" s="1">
        <v>0.95833333300000001</v>
      </c>
      <c r="J177" s="1">
        <v>0.20194093699999999</v>
      </c>
      <c r="K177" s="1">
        <f>(B177+Table810[[#This Row],[grt]])/2</f>
        <v>2238.1354165000002</v>
      </c>
      <c r="L177" s="1">
        <f>(Table810[[#This Row],[prtsd]]+Table810[[#This Row],[grtsd]])/2</f>
        <v>807.33050260000005</v>
      </c>
      <c r="M177" s="1">
        <f>(Table810[[#This Row],[pacc]]+Table810[[#This Row],[gacc]])/2</f>
        <v>0.92916666650000002</v>
      </c>
      <c r="N177" s="1">
        <f>(Table810[[#This Row],[paccsd]]+Table810[[#This Row],[gaccsd]])/2</f>
        <v>0.25249335000000001</v>
      </c>
      <c r="O177">
        <f>Table810[[#This Row],[mrt]]-(Table810[[#This Row],[macc]]*1000)</f>
        <v>1308.9687500000002</v>
      </c>
      <c r="P177" s="9">
        <f>(Table810[[#This Row],[prt]]-Table810[[#This Row],[grt]])</f>
        <v>-324.10416699999996</v>
      </c>
      <c r="Q177" s="8">
        <f>Table810[[#This Row],[pacc]]-Table810[[#This Row],[gacc]]</f>
        <v>-5.8333332999999987E-2</v>
      </c>
      <c r="R177" s="8">
        <f>Table810[[#This Row],[rt_pairing_score]]-Table810[[#This Row],[acc_pairing_score]]</f>
        <v>-324.04583366699995</v>
      </c>
    </row>
    <row r="178" spans="1:18" x14ac:dyDescent="0.25">
      <c r="A178" t="s">
        <v>100</v>
      </c>
      <c r="B178" s="1">
        <v>2090.166667</v>
      </c>
      <c r="C178" s="1">
        <v>756.83145019999995</v>
      </c>
      <c r="D178" s="1">
        <v>0.8</v>
      </c>
      <c r="E178" s="1">
        <v>0.40406101799999999</v>
      </c>
      <c r="F178" s="1">
        <v>396</v>
      </c>
      <c r="G178" s="1">
        <v>2163.8260869999999</v>
      </c>
      <c r="H178" s="1">
        <v>704.72006429999999</v>
      </c>
      <c r="I178" s="1">
        <v>0.85106382999999997</v>
      </c>
      <c r="J178" s="1">
        <v>0.35987458</v>
      </c>
      <c r="K178" s="1">
        <f>(B178+Table810[[#This Row],[grt]])/2</f>
        <v>2126.9963769999999</v>
      </c>
      <c r="L178" s="1">
        <f>(Table810[[#This Row],[prtsd]]+Table810[[#This Row],[grtsd]])/2</f>
        <v>730.77575724999997</v>
      </c>
      <c r="M178" s="1">
        <f>(Table810[[#This Row],[pacc]]+Table810[[#This Row],[gacc]])/2</f>
        <v>0.82553191500000001</v>
      </c>
      <c r="N178" s="1">
        <f>(Table810[[#This Row],[paccsd]]+Table810[[#This Row],[gaccsd]])/2</f>
        <v>0.381967799</v>
      </c>
      <c r="O178">
        <f>Table810[[#This Row],[mrt]]-(Table810[[#This Row],[macc]]*1000)</f>
        <v>1301.4644619999999</v>
      </c>
      <c r="P178" s="9">
        <f>(Table810[[#This Row],[prt]]-Table810[[#This Row],[grt]])</f>
        <v>-73.659419999999955</v>
      </c>
      <c r="Q178" s="8">
        <f>Table810[[#This Row],[pacc]]-Table810[[#This Row],[gacc]]</f>
        <v>-5.1063829999999921E-2</v>
      </c>
      <c r="R178" s="8">
        <f>Table810[[#This Row],[rt_pairing_score]]-Table810[[#This Row],[acc_pairing_score]]</f>
        <v>-73.608356169999951</v>
      </c>
    </row>
    <row r="179" spans="1:18" x14ac:dyDescent="0.25">
      <c r="A179" t="s">
        <v>204</v>
      </c>
      <c r="B179" s="1">
        <v>2242.1428569999998</v>
      </c>
      <c r="C179" s="1">
        <v>627.86035470000002</v>
      </c>
      <c r="D179" s="1">
        <v>0.918367347</v>
      </c>
      <c r="E179" s="1">
        <v>0.27664166800000001</v>
      </c>
      <c r="F179" s="1">
        <v>273</v>
      </c>
      <c r="G179" s="1">
        <v>2231.958333</v>
      </c>
      <c r="H179" s="1">
        <v>626.81593069999997</v>
      </c>
      <c r="I179" s="1">
        <v>0.95833333300000001</v>
      </c>
      <c r="J179" s="1">
        <v>0.20194093699999999</v>
      </c>
      <c r="K179" s="1">
        <f>(B179+Table810[[#This Row],[grt]])/2</f>
        <v>2237.0505949999997</v>
      </c>
      <c r="L179" s="1">
        <f>(Table810[[#This Row],[prtsd]]+Table810[[#This Row],[grtsd]])/2</f>
        <v>627.33814269999993</v>
      </c>
      <c r="M179" s="1">
        <f>(Table810[[#This Row],[pacc]]+Table810[[#This Row],[gacc]])/2</f>
        <v>0.93835033999999995</v>
      </c>
      <c r="N179" s="1">
        <f>(Table810[[#This Row],[paccsd]]+Table810[[#This Row],[gaccsd]])/2</f>
        <v>0.2392913025</v>
      </c>
      <c r="O179">
        <f>Table810[[#This Row],[mrt]]-(Table810[[#This Row],[macc]]*1000)</f>
        <v>1298.7002549999997</v>
      </c>
      <c r="P179" s="9">
        <f>(Table810[[#This Row],[prt]]-Table810[[#This Row],[grt]])</f>
        <v>10.184523999999783</v>
      </c>
      <c r="Q179" s="8">
        <f>Table810[[#This Row],[pacc]]-Table810[[#This Row],[gacc]]</f>
        <v>-3.9965986000000009E-2</v>
      </c>
      <c r="R179" s="8">
        <f>Table810[[#This Row],[rt_pairing_score]]-Table810[[#This Row],[acc_pairing_score]]</f>
        <v>10.224489985999783</v>
      </c>
    </row>
    <row r="180" spans="1:18" x14ac:dyDescent="0.25">
      <c r="A180" t="s">
        <v>335</v>
      </c>
      <c r="B180" s="1">
        <v>2196.061224</v>
      </c>
      <c r="C180" s="1">
        <v>747.7583558</v>
      </c>
      <c r="D180" s="1">
        <v>0.97959183699999997</v>
      </c>
      <c r="E180" s="1">
        <v>0.14285714299999999</v>
      </c>
      <c r="F180" s="1">
        <v>218</v>
      </c>
      <c r="G180" s="1">
        <v>2212.1702129999999</v>
      </c>
      <c r="H180" s="1">
        <v>733.89471219999996</v>
      </c>
      <c r="I180" s="1">
        <v>0.83333333300000001</v>
      </c>
      <c r="J180" s="1">
        <v>0.37662178899999998</v>
      </c>
      <c r="K180" s="1">
        <f>(B180+Table810[[#This Row],[grt]])/2</f>
        <v>2204.1157185000002</v>
      </c>
      <c r="L180" s="1">
        <f>(Table810[[#This Row],[prtsd]]+Table810[[#This Row],[grtsd]])/2</f>
        <v>740.82653400000004</v>
      </c>
      <c r="M180" s="1">
        <f>(Table810[[#This Row],[pacc]]+Table810[[#This Row],[gacc]])/2</f>
        <v>0.90646258499999999</v>
      </c>
      <c r="N180" s="1">
        <f>(Table810[[#This Row],[paccsd]]+Table810[[#This Row],[gaccsd]])/2</f>
        <v>0.25973946599999997</v>
      </c>
      <c r="O180">
        <f>Table810[[#This Row],[mrt]]-(Table810[[#This Row],[macc]]*1000)</f>
        <v>1297.6531335000002</v>
      </c>
      <c r="P180" s="9">
        <f>(Table810[[#This Row],[prt]]-Table810[[#This Row],[grt]])</f>
        <v>-16.108988999999838</v>
      </c>
      <c r="Q180" s="8">
        <f>Table810[[#This Row],[pacc]]-Table810[[#This Row],[gacc]]</f>
        <v>0.14625850399999996</v>
      </c>
      <c r="R180" s="8">
        <f>Table810[[#This Row],[rt_pairing_score]]-Table810[[#This Row],[acc_pairing_score]]</f>
        <v>-16.255247503999836</v>
      </c>
    </row>
    <row r="181" spans="1:18" x14ac:dyDescent="0.25">
      <c r="A181" t="s">
        <v>303</v>
      </c>
      <c r="B181" s="1">
        <v>2253.66</v>
      </c>
      <c r="C181" s="1">
        <v>733.08355200000005</v>
      </c>
      <c r="D181" s="1">
        <v>0.96</v>
      </c>
      <c r="E181" s="1">
        <v>0.197948664</v>
      </c>
      <c r="F181" s="1">
        <v>105</v>
      </c>
      <c r="G181" s="1">
        <v>2238.2978720000001</v>
      </c>
      <c r="H181" s="1">
        <v>734.55990710000003</v>
      </c>
      <c r="I181" s="1">
        <v>0.9375</v>
      </c>
      <c r="J181" s="1">
        <v>0.24462302699999999</v>
      </c>
      <c r="K181" s="1">
        <f>(B181+Table810[[#This Row],[grt]])/2</f>
        <v>2245.978936</v>
      </c>
      <c r="L181" s="1">
        <f>(Table810[[#This Row],[prtsd]]+Table810[[#This Row],[grtsd]])/2</f>
        <v>733.8217295500001</v>
      </c>
      <c r="M181" s="1">
        <f>(Table810[[#This Row],[pacc]]+Table810[[#This Row],[gacc]])/2</f>
        <v>0.94874999999999998</v>
      </c>
      <c r="N181" s="1">
        <f>(Table810[[#This Row],[paccsd]]+Table810[[#This Row],[gaccsd]])/2</f>
        <v>0.22128584549999999</v>
      </c>
      <c r="O181">
        <f>Table810[[#This Row],[mrt]]-(Table810[[#This Row],[macc]]*1000)</f>
        <v>1297.228936</v>
      </c>
      <c r="P181" s="9">
        <f>(Table810[[#This Row],[prt]]-Table810[[#This Row],[grt]])</f>
        <v>15.362127999999757</v>
      </c>
      <c r="Q181" s="8">
        <f>Table810[[#This Row],[pacc]]-Table810[[#This Row],[gacc]]</f>
        <v>2.2499999999999964E-2</v>
      </c>
      <c r="R181" s="8">
        <f>Table810[[#This Row],[rt_pairing_score]]-Table810[[#This Row],[acc_pairing_score]]</f>
        <v>15.339627999999756</v>
      </c>
    </row>
    <row r="182" spans="1:18" x14ac:dyDescent="0.25">
      <c r="A182" t="s">
        <v>309</v>
      </c>
      <c r="B182" s="1">
        <v>2133.122449</v>
      </c>
      <c r="C182" s="1">
        <v>784.9346213</v>
      </c>
      <c r="D182" s="1">
        <v>0.96</v>
      </c>
      <c r="E182" s="1">
        <v>0.197948664</v>
      </c>
      <c r="F182" s="1">
        <v>569</v>
      </c>
      <c r="G182" s="1">
        <v>2282.6808510000001</v>
      </c>
      <c r="H182" s="1">
        <v>748.24359860000004</v>
      </c>
      <c r="I182" s="1">
        <v>0.87234042599999995</v>
      </c>
      <c r="J182" s="1">
        <v>0.33731814900000001</v>
      </c>
      <c r="K182" s="1">
        <f>(B182+Table810[[#This Row],[grt]])/2</f>
        <v>2207.9016499999998</v>
      </c>
      <c r="L182" s="1">
        <f>(Table810[[#This Row],[prtsd]]+Table810[[#This Row],[grtsd]])/2</f>
        <v>766.58910994999997</v>
      </c>
      <c r="M182" s="1">
        <f>(Table810[[#This Row],[pacc]]+Table810[[#This Row],[gacc]])/2</f>
        <v>0.91617021300000001</v>
      </c>
      <c r="N182" s="1">
        <f>(Table810[[#This Row],[paccsd]]+Table810[[#This Row],[gaccsd]])/2</f>
        <v>0.2676334065</v>
      </c>
      <c r="O182">
        <f>Table810[[#This Row],[mrt]]-(Table810[[#This Row],[macc]]*1000)</f>
        <v>1291.7314369999999</v>
      </c>
      <c r="P182" s="9">
        <f>(Table810[[#This Row],[prt]]-Table810[[#This Row],[grt]])</f>
        <v>-149.55840200000011</v>
      </c>
      <c r="Q182" s="8">
        <f>Table810[[#This Row],[pacc]]-Table810[[#This Row],[gacc]]</f>
        <v>8.7659574000000018E-2</v>
      </c>
      <c r="R182" s="8">
        <f>Table810[[#This Row],[rt_pairing_score]]-Table810[[#This Row],[acc_pairing_score]]</f>
        <v>-149.64606157400013</v>
      </c>
    </row>
    <row r="183" spans="1:18" x14ac:dyDescent="0.25">
      <c r="A183" t="s">
        <v>264</v>
      </c>
      <c r="B183" s="1">
        <v>2118.3200000000002</v>
      </c>
      <c r="C183" s="1">
        <v>788.91052339999999</v>
      </c>
      <c r="D183" s="1">
        <v>0.94</v>
      </c>
      <c r="E183" s="1">
        <v>0.23989793700000001</v>
      </c>
      <c r="F183" s="1">
        <v>467</v>
      </c>
      <c r="G183" s="1">
        <v>2287.5106380000002</v>
      </c>
      <c r="H183" s="1">
        <v>735.54274169999997</v>
      </c>
      <c r="I183" s="1">
        <v>0.89361702099999996</v>
      </c>
      <c r="J183" s="1">
        <v>0.31166052799999999</v>
      </c>
      <c r="K183" s="1">
        <f>(B183+Table810[[#This Row],[grt]])/2</f>
        <v>2202.9153190000002</v>
      </c>
      <c r="L183" s="1">
        <f>(Table810[[#This Row],[prtsd]]+Table810[[#This Row],[grtsd]])/2</f>
        <v>762.22663254999998</v>
      </c>
      <c r="M183" s="1">
        <f>(Table810[[#This Row],[pacc]]+Table810[[#This Row],[gacc]])/2</f>
        <v>0.9168085104999999</v>
      </c>
      <c r="N183" s="1">
        <f>(Table810[[#This Row],[paccsd]]+Table810[[#This Row],[gaccsd]])/2</f>
        <v>0.27577923250000003</v>
      </c>
      <c r="O183">
        <f>Table810[[#This Row],[mrt]]-(Table810[[#This Row],[macc]]*1000)</f>
        <v>1286.1068085000002</v>
      </c>
      <c r="P183" s="9">
        <f>(Table810[[#This Row],[prt]]-Table810[[#This Row],[grt]])</f>
        <v>-169.19063800000004</v>
      </c>
      <c r="Q183" s="8">
        <f>Table810[[#This Row],[pacc]]-Table810[[#This Row],[gacc]]</f>
        <v>4.6382978999999991E-2</v>
      </c>
      <c r="R183" s="8">
        <f>Table810[[#This Row],[rt_pairing_score]]-Table810[[#This Row],[acc_pairing_score]]</f>
        <v>-169.23702097900002</v>
      </c>
    </row>
    <row r="184" spans="1:18" x14ac:dyDescent="0.25">
      <c r="A184" t="s">
        <v>158</v>
      </c>
      <c r="B184" s="1">
        <v>2176.4</v>
      </c>
      <c r="C184" s="1">
        <v>736.08387389999996</v>
      </c>
      <c r="D184" s="1">
        <v>0.88</v>
      </c>
      <c r="E184" s="1">
        <v>0.32826072299999998</v>
      </c>
      <c r="F184" s="1">
        <v>397</v>
      </c>
      <c r="G184" s="1">
        <v>2163.6808510000001</v>
      </c>
      <c r="H184" s="1">
        <v>743.96479309999995</v>
      </c>
      <c r="I184" s="1">
        <v>0.89361702099999996</v>
      </c>
      <c r="J184" s="1">
        <v>0.31166052799999999</v>
      </c>
      <c r="K184" s="1">
        <f>(B184+Table810[[#This Row],[grt]])/2</f>
        <v>2170.0404255000003</v>
      </c>
      <c r="L184" s="1">
        <f>(Table810[[#This Row],[prtsd]]+Table810[[#This Row],[grtsd]])/2</f>
        <v>740.02433350000001</v>
      </c>
      <c r="M184" s="1">
        <f>(Table810[[#This Row],[pacc]]+Table810[[#This Row],[gacc]])/2</f>
        <v>0.88680851049999998</v>
      </c>
      <c r="N184" s="1">
        <f>(Table810[[#This Row],[paccsd]]+Table810[[#This Row],[gaccsd]])/2</f>
        <v>0.31996062549999998</v>
      </c>
      <c r="O184">
        <f>Table810[[#This Row],[mrt]]-(Table810[[#This Row],[macc]]*1000)</f>
        <v>1283.2319150000003</v>
      </c>
      <c r="P184" s="9">
        <f>(Table810[[#This Row],[prt]]-Table810[[#This Row],[grt]])</f>
        <v>12.719149000000016</v>
      </c>
      <c r="Q184" s="8">
        <f>Table810[[#This Row],[pacc]]-Table810[[#This Row],[gacc]]</f>
        <v>-1.3617020999999951E-2</v>
      </c>
      <c r="R184" s="8">
        <f>Table810[[#This Row],[rt_pairing_score]]-Table810[[#This Row],[acc_pairing_score]]</f>
        <v>12.732766021000016</v>
      </c>
    </row>
    <row r="185" spans="1:18" x14ac:dyDescent="0.25">
      <c r="A185" t="s">
        <v>137</v>
      </c>
      <c r="B185" s="1">
        <v>2063.145833</v>
      </c>
      <c r="C185" s="1">
        <v>779.12195499999996</v>
      </c>
      <c r="D185" s="1">
        <v>0.86</v>
      </c>
      <c r="E185" s="1">
        <v>0.35050983299999999</v>
      </c>
      <c r="F185" s="1">
        <v>635</v>
      </c>
      <c r="G185" s="1">
        <v>2277.1739130000001</v>
      </c>
      <c r="H185" s="1">
        <v>721.49906610000005</v>
      </c>
      <c r="I185" s="1">
        <v>0.91489361700000005</v>
      </c>
      <c r="J185" s="1">
        <v>0.28205667299999998</v>
      </c>
      <c r="K185" s="1">
        <f>(B185+Table810[[#This Row],[grt]])/2</f>
        <v>2170.1598730000001</v>
      </c>
      <c r="L185" s="1">
        <f>(Table810[[#This Row],[prtsd]]+Table810[[#This Row],[grtsd]])/2</f>
        <v>750.31051055</v>
      </c>
      <c r="M185" s="1">
        <f>(Table810[[#This Row],[pacc]]+Table810[[#This Row],[gacc]])/2</f>
        <v>0.88744680850000002</v>
      </c>
      <c r="N185" s="1">
        <f>(Table810[[#This Row],[paccsd]]+Table810[[#This Row],[gaccsd]])/2</f>
        <v>0.31628325299999999</v>
      </c>
      <c r="O185">
        <f>Table810[[#This Row],[mrt]]-(Table810[[#This Row],[macc]]*1000)</f>
        <v>1282.7130645000002</v>
      </c>
      <c r="P185" s="9">
        <f>(Table810[[#This Row],[prt]]-Table810[[#This Row],[grt]])</f>
        <v>-214.02808000000005</v>
      </c>
      <c r="Q185" s="8">
        <f>Table810[[#This Row],[pacc]]-Table810[[#This Row],[gacc]]</f>
        <v>-5.4893617000000061E-2</v>
      </c>
      <c r="R185" s="8">
        <f>Table810[[#This Row],[rt_pairing_score]]-Table810[[#This Row],[acc_pairing_score]]</f>
        <v>-213.97318638300004</v>
      </c>
    </row>
    <row r="186" spans="1:18" x14ac:dyDescent="0.25">
      <c r="A186" t="s">
        <v>199</v>
      </c>
      <c r="B186" s="1">
        <v>2060.25</v>
      </c>
      <c r="C186" s="1">
        <v>827.04718279999997</v>
      </c>
      <c r="D186" s="1">
        <v>0.918367347</v>
      </c>
      <c r="E186" s="1">
        <v>0.27664166800000001</v>
      </c>
      <c r="F186" s="1">
        <v>479</v>
      </c>
      <c r="G186" s="1">
        <v>2380.7391299999999</v>
      </c>
      <c r="H186" s="1">
        <v>771.5939472</v>
      </c>
      <c r="I186" s="1">
        <v>0.95744680900000001</v>
      </c>
      <c r="J186" s="1">
        <v>0.204029709</v>
      </c>
      <c r="K186" s="1">
        <f>(B186+Table810[[#This Row],[grt]])/2</f>
        <v>2220.494565</v>
      </c>
      <c r="L186" s="1">
        <f>(Table810[[#This Row],[prtsd]]+Table810[[#This Row],[grtsd]])/2</f>
        <v>799.32056499999999</v>
      </c>
      <c r="M186" s="1">
        <f>(Table810[[#This Row],[pacc]]+Table810[[#This Row],[gacc]])/2</f>
        <v>0.93790707800000006</v>
      </c>
      <c r="N186" s="1">
        <f>(Table810[[#This Row],[paccsd]]+Table810[[#This Row],[gaccsd]])/2</f>
        <v>0.24033568850000001</v>
      </c>
      <c r="O186">
        <f>Table810[[#This Row],[mrt]]-(Table810[[#This Row],[macc]]*1000)</f>
        <v>1282.5874869999998</v>
      </c>
      <c r="P186" s="9">
        <f>(Table810[[#This Row],[prt]]-Table810[[#This Row],[grt]])</f>
        <v>-320.48912999999993</v>
      </c>
      <c r="Q186" s="8">
        <f>Table810[[#This Row],[pacc]]-Table810[[#This Row],[gacc]]</f>
        <v>-3.9079462000000009E-2</v>
      </c>
      <c r="R186" s="8">
        <f>Table810[[#This Row],[rt_pairing_score]]-Table810[[#This Row],[acc_pairing_score]]</f>
        <v>-320.45005053799991</v>
      </c>
    </row>
    <row r="187" spans="1:18" x14ac:dyDescent="0.25">
      <c r="A187" t="s">
        <v>310</v>
      </c>
      <c r="B187" s="1">
        <v>2209.2399999999998</v>
      </c>
      <c r="C187" s="1">
        <v>724.47612489999995</v>
      </c>
      <c r="D187" s="1">
        <v>0.96</v>
      </c>
      <c r="E187" s="1">
        <v>0.197948664</v>
      </c>
      <c r="F187" s="1">
        <v>321</v>
      </c>
      <c r="G187" s="1">
        <v>2221.5217389999998</v>
      </c>
      <c r="H187" s="1">
        <v>721.02361619999999</v>
      </c>
      <c r="I187" s="1">
        <v>0.91489361700000005</v>
      </c>
      <c r="J187" s="1">
        <v>0.28205667299999998</v>
      </c>
      <c r="K187" s="1">
        <f>(B187+Table810[[#This Row],[grt]])/2</f>
        <v>2215.3808694999998</v>
      </c>
      <c r="L187" s="1">
        <f>(Table810[[#This Row],[prtsd]]+Table810[[#This Row],[grtsd]])/2</f>
        <v>722.74987054999997</v>
      </c>
      <c r="M187" s="1">
        <f>(Table810[[#This Row],[pacc]]+Table810[[#This Row],[gacc]])/2</f>
        <v>0.93744680850000006</v>
      </c>
      <c r="N187" s="1">
        <f>(Table810[[#This Row],[paccsd]]+Table810[[#This Row],[gaccsd]])/2</f>
        <v>0.24000266849999999</v>
      </c>
      <c r="O187">
        <f>Table810[[#This Row],[mrt]]-(Table810[[#This Row],[macc]]*1000)</f>
        <v>1277.9340609999997</v>
      </c>
      <c r="P187" s="9">
        <f>(Table810[[#This Row],[prt]]-Table810[[#This Row],[grt]])</f>
        <v>-12.281739000000016</v>
      </c>
      <c r="Q187" s="8">
        <f>Table810[[#This Row],[pacc]]-Table810[[#This Row],[gacc]]</f>
        <v>4.5106382999999917E-2</v>
      </c>
      <c r="R187" s="8">
        <f>Table810[[#This Row],[rt_pairing_score]]-Table810[[#This Row],[acc_pairing_score]]</f>
        <v>-12.326845383000016</v>
      </c>
    </row>
    <row r="188" spans="1:18" x14ac:dyDescent="0.25">
      <c r="A188" t="s">
        <v>337</v>
      </c>
      <c r="B188" s="1">
        <v>2009.061224</v>
      </c>
      <c r="C188" s="1">
        <v>783.89522599999998</v>
      </c>
      <c r="D188" s="1">
        <v>0.97959183699999997</v>
      </c>
      <c r="E188" s="1">
        <v>0.14285714299999999</v>
      </c>
      <c r="F188" s="1">
        <v>678</v>
      </c>
      <c r="G188" s="1">
        <v>2209.5217389999998</v>
      </c>
      <c r="H188" s="1">
        <v>693.62899909999999</v>
      </c>
      <c r="I188" s="1">
        <v>0.6875</v>
      </c>
      <c r="J188" s="1">
        <v>0.46841743499999999</v>
      </c>
      <c r="K188" s="1">
        <f>(B188+Table810[[#This Row],[grt]])/2</f>
        <v>2109.2914814999999</v>
      </c>
      <c r="L188" s="1">
        <f>(Table810[[#This Row],[prtsd]]+Table810[[#This Row],[grtsd]])/2</f>
        <v>738.76211254999998</v>
      </c>
      <c r="M188" s="1">
        <f>(Table810[[#This Row],[pacc]]+Table810[[#This Row],[gacc]])/2</f>
        <v>0.83354591850000004</v>
      </c>
      <c r="N188" s="1">
        <f>(Table810[[#This Row],[paccsd]]+Table810[[#This Row],[gaccsd]])/2</f>
        <v>0.30563728899999998</v>
      </c>
      <c r="O188">
        <f>Table810[[#This Row],[mrt]]-(Table810[[#This Row],[macc]]*1000)</f>
        <v>1275.7455629999999</v>
      </c>
      <c r="P188" s="9">
        <f>(Table810[[#This Row],[prt]]-Table810[[#This Row],[grt]])</f>
        <v>-200.46051499999976</v>
      </c>
      <c r="Q188" s="8">
        <f>Table810[[#This Row],[pacc]]-Table810[[#This Row],[gacc]]</f>
        <v>0.29209183699999997</v>
      </c>
      <c r="R188" s="8">
        <f>Table810[[#This Row],[rt_pairing_score]]-Table810[[#This Row],[acc_pairing_score]]</f>
        <v>-200.75260683699975</v>
      </c>
    </row>
    <row r="189" spans="1:18" x14ac:dyDescent="0.25">
      <c r="A189" t="s">
        <v>301</v>
      </c>
      <c r="B189" s="1">
        <v>2221.7346940000002</v>
      </c>
      <c r="C189" s="1">
        <v>545.70557440000005</v>
      </c>
      <c r="D189" s="1">
        <v>0.96</v>
      </c>
      <c r="E189" s="1">
        <v>0.197948664</v>
      </c>
      <c r="F189" s="1">
        <v>151</v>
      </c>
      <c r="G189" s="1">
        <v>2202.8913040000002</v>
      </c>
      <c r="H189" s="1">
        <v>543.21136579999995</v>
      </c>
      <c r="I189" s="1">
        <v>0.91666666699999999</v>
      </c>
      <c r="J189" s="1">
        <v>0.27931019400000001</v>
      </c>
      <c r="K189" s="1">
        <f>(B189+Table810[[#This Row],[grt]])/2</f>
        <v>2212.3129990000002</v>
      </c>
      <c r="L189" s="1">
        <f>(Table810[[#This Row],[prtsd]]+Table810[[#This Row],[grtsd]])/2</f>
        <v>544.4584701</v>
      </c>
      <c r="M189" s="1">
        <f>(Table810[[#This Row],[pacc]]+Table810[[#This Row],[gacc]])/2</f>
        <v>0.93833333349999992</v>
      </c>
      <c r="N189" s="1">
        <f>(Table810[[#This Row],[paccsd]]+Table810[[#This Row],[gaccsd]])/2</f>
        <v>0.238629429</v>
      </c>
      <c r="O189">
        <f>Table810[[#This Row],[mrt]]-(Table810[[#This Row],[macc]]*1000)</f>
        <v>1273.9796655000005</v>
      </c>
      <c r="P189" s="9">
        <f>(Table810[[#This Row],[prt]]-Table810[[#This Row],[grt]])</f>
        <v>18.843389999999999</v>
      </c>
      <c r="Q189" s="8">
        <f>Table810[[#This Row],[pacc]]-Table810[[#This Row],[gacc]]</f>
        <v>4.3333332999999974E-2</v>
      </c>
      <c r="R189" s="8">
        <f>Table810[[#This Row],[rt_pairing_score]]-Table810[[#This Row],[acc_pairing_score]]</f>
        <v>18.800056667</v>
      </c>
    </row>
    <row r="190" spans="1:18" x14ac:dyDescent="0.25">
      <c r="A190" t="s">
        <v>249</v>
      </c>
      <c r="B190" s="1">
        <v>2151.2448979999999</v>
      </c>
      <c r="C190" s="1">
        <v>661.08914330000005</v>
      </c>
      <c r="D190" s="1">
        <v>0.93877551000000004</v>
      </c>
      <c r="E190" s="1">
        <v>0.24222607099999999</v>
      </c>
      <c r="F190" s="1">
        <v>259</v>
      </c>
      <c r="G190" s="1">
        <v>2164.291667</v>
      </c>
      <c r="H190" s="1">
        <v>663.52222489999997</v>
      </c>
      <c r="I190" s="1">
        <v>0.83333333300000001</v>
      </c>
      <c r="J190" s="1">
        <v>0.37662178899999998</v>
      </c>
      <c r="K190" s="1">
        <f>(B190+Table810[[#This Row],[grt]])/2</f>
        <v>2157.7682825000002</v>
      </c>
      <c r="L190" s="1">
        <f>(Table810[[#This Row],[prtsd]]+Table810[[#This Row],[grtsd]])/2</f>
        <v>662.30568410000001</v>
      </c>
      <c r="M190" s="1">
        <f>(Table810[[#This Row],[pacc]]+Table810[[#This Row],[gacc]])/2</f>
        <v>0.88605442150000002</v>
      </c>
      <c r="N190" s="1">
        <f>(Table810[[#This Row],[paccsd]]+Table810[[#This Row],[gaccsd]])/2</f>
        <v>0.30942393000000001</v>
      </c>
      <c r="O190">
        <f>Table810[[#This Row],[mrt]]-(Table810[[#This Row],[macc]]*1000)</f>
        <v>1271.7138610000002</v>
      </c>
      <c r="P190" s="9">
        <f>(Table810[[#This Row],[prt]]-Table810[[#This Row],[grt]])</f>
        <v>-13.04676900000004</v>
      </c>
      <c r="Q190" s="8">
        <f>Table810[[#This Row],[pacc]]-Table810[[#This Row],[gacc]]</f>
        <v>0.10544217700000003</v>
      </c>
      <c r="R190" s="8">
        <f>Table810[[#This Row],[rt_pairing_score]]-Table810[[#This Row],[acc_pairing_score]]</f>
        <v>-13.152211177000041</v>
      </c>
    </row>
    <row r="191" spans="1:18" x14ac:dyDescent="0.25">
      <c r="A191" t="s">
        <v>120</v>
      </c>
      <c r="B191" s="1">
        <v>2154.6808510000001</v>
      </c>
      <c r="C191" s="1">
        <v>731.99376649999999</v>
      </c>
      <c r="D191" s="1">
        <v>0.83333333300000001</v>
      </c>
      <c r="E191" s="1">
        <v>0.37662178899999998</v>
      </c>
      <c r="F191" s="1">
        <v>64</v>
      </c>
      <c r="G191" s="1">
        <v>2150.6875</v>
      </c>
      <c r="H191" s="1">
        <v>734.72044640000001</v>
      </c>
      <c r="I191" s="1">
        <v>0.9375</v>
      </c>
      <c r="J191" s="1">
        <v>0.24462302699999999</v>
      </c>
      <c r="K191" s="1">
        <f>(B191+Table810[[#This Row],[grt]])/2</f>
        <v>2152.6841755</v>
      </c>
      <c r="L191" s="1">
        <f>(Table810[[#This Row],[prtsd]]+Table810[[#This Row],[grtsd]])/2</f>
        <v>733.35710644999995</v>
      </c>
      <c r="M191" s="1">
        <f>(Table810[[#This Row],[pacc]]+Table810[[#This Row],[gacc]])/2</f>
        <v>0.88541666650000006</v>
      </c>
      <c r="N191" s="1">
        <f>(Table810[[#This Row],[paccsd]]+Table810[[#This Row],[gaccsd]])/2</f>
        <v>0.31062240799999996</v>
      </c>
      <c r="O191">
        <f>Table810[[#This Row],[mrt]]-(Table810[[#This Row],[macc]]*1000)</f>
        <v>1267.267509</v>
      </c>
      <c r="P191" s="9">
        <f>(Table810[[#This Row],[prt]]-Table810[[#This Row],[grt]])</f>
        <v>3.9933510000000751</v>
      </c>
      <c r="Q191" s="8">
        <f>Table810[[#This Row],[pacc]]-Table810[[#This Row],[gacc]]</f>
        <v>-0.10416666699999999</v>
      </c>
      <c r="R191" s="8">
        <f>Table810[[#This Row],[rt_pairing_score]]-Table810[[#This Row],[acc_pairing_score]]</f>
        <v>4.0975176670000755</v>
      </c>
    </row>
    <row r="192" spans="1:18" x14ac:dyDescent="0.25">
      <c r="A192" t="s">
        <v>206</v>
      </c>
      <c r="B192" s="1">
        <v>2197.145833</v>
      </c>
      <c r="C192" s="1">
        <v>738.27040509999995</v>
      </c>
      <c r="D192" s="1">
        <v>0.918367347</v>
      </c>
      <c r="E192" s="1">
        <v>0.27664166800000001</v>
      </c>
      <c r="F192" s="1">
        <v>383</v>
      </c>
      <c r="G192" s="1">
        <v>2191.4888890000002</v>
      </c>
      <c r="H192" s="1">
        <v>740.41835909999998</v>
      </c>
      <c r="I192" s="1">
        <v>0.93617021300000003</v>
      </c>
      <c r="J192" s="1">
        <v>0.24709224799999999</v>
      </c>
      <c r="K192" s="1">
        <f>(B192+Table810[[#This Row],[grt]])/2</f>
        <v>2194.3173610000003</v>
      </c>
      <c r="L192" s="1">
        <f>(Table810[[#This Row],[prtsd]]+Table810[[#This Row],[grtsd]])/2</f>
        <v>739.34438209999996</v>
      </c>
      <c r="M192" s="1">
        <f>(Table810[[#This Row],[pacc]]+Table810[[#This Row],[gacc]])/2</f>
        <v>0.92726878000000001</v>
      </c>
      <c r="N192" s="1">
        <f>(Table810[[#This Row],[paccsd]]+Table810[[#This Row],[gaccsd]])/2</f>
        <v>0.26186695799999998</v>
      </c>
      <c r="O192">
        <f>Table810[[#This Row],[mrt]]-(Table810[[#This Row],[macc]]*1000)</f>
        <v>1267.0485810000005</v>
      </c>
      <c r="P192" s="9">
        <f>(Table810[[#This Row],[prt]]-Table810[[#This Row],[grt]])</f>
        <v>5.6569439999998394</v>
      </c>
      <c r="Q192" s="8">
        <f>Table810[[#This Row],[pacc]]-Table810[[#This Row],[gacc]]</f>
        <v>-1.7802866000000028E-2</v>
      </c>
      <c r="R192" s="8">
        <f>Table810[[#This Row],[rt_pairing_score]]-Table810[[#This Row],[acc_pairing_score]]</f>
        <v>5.6747468659998397</v>
      </c>
    </row>
    <row r="193" spans="1:18" x14ac:dyDescent="0.25">
      <c r="A193" t="s">
        <v>326</v>
      </c>
      <c r="B193" s="1">
        <v>2007.3265309999999</v>
      </c>
      <c r="C193" s="1">
        <v>799.92518889999997</v>
      </c>
      <c r="D193" s="1">
        <v>0.96</v>
      </c>
      <c r="E193" s="1">
        <v>0.197948664</v>
      </c>
      <c r="F193" s="1">
        <v>77</v>
      </c>
      <c r="G193" s="1">
        <v>2353.1555560000002</v>
      </c>
      <c r="H193" s="1">
        <v>752.7434356</v>
      </c>
      <c r="I193" s="1">
        <v>0.875</v>
      </c>
      <c r="J193" s="1">
        <v>0.33421868199999999</v>
      </c>
      <c r="K193" s="1">
        <f>(B193+Table810[[#This Row],[grt]])/2</f>
        <v>2180.2410435000002</v>
      </c>
      <c r="L193" s="1">
        <f>(Table810[[#This Row],[prtsd]]+Table810[[#This Row],[grtsd]])/2</f>
        <v>776.33431225000004</v>
      </c>
      <c r="M193" s="1">
        <f>(Table810[[#This Row],[pacc]]+Table810[[#This Row],[gacc]])/2</f>
        <v>0.91749999999999998</v>
      </c>
      <c r="N193" s="1">
        <f>(Table810[[#This Row],[paccsd]]+Table810[[#This Row],[gaccsd]])/2</f>
        <v>0.26608367300000002</v>
      </c>
      <c r="O193">
        <f>Table810[[#This Row],[mrt]]-(Table810[[#This Row],[macc]]*1000)</f>
        <v>1262.7410435000002</v>
      </c>
      <c r="P193" s="9">
        <f>(Table810[[#This Row],[prt]]-Table810[[#This Row],[grt]])</f>
        <v>-345.82902500000023</v>
      </c>
      <c r="Q193" s="8">
        <f>Table810[[#This Row],[pacc]]-Table810[[#This Row],[gacc]]</f>
        <v>8.4999999999999964E-2</v>
      </c>
      <c r="R193" s="8">
        <f>Table810[[#This Row],[rt_pairing_score]]-Table810[[#This Row],[acc_pairing_score]]</f>
        <v>-345.91402500000021</v>
      </c>
    </row>
    <row r="194" spans="1:18" x14ac:dyDescent="0.25">
      <c r="A194" t="s">
        <v>225</v>
      </c>
      <c r="B194" s="1">
        <v>1906.612245</v>
      </c>
      <c r="C194" s="1">
        <v>840.34982339999999</v>
      </c>
      <c r="D194" s="1">
        <v>0.92</v>
      </c>
      <c r="E194" s="1">
        <v>0.27404751599999999</v>
      </c>
      <c r="F194" s="1">
        <v>541</v>
      </c>
      <c r="G194" s="1">
        <v>2339.913043</v>
      </c>
      <c r="H194" s="1">
        <v>733.24262550000003</v>
      </c>
      <c r="I194" s="1">
        <v>0.8125</v>
      </c>
      <c r="J194" s="1">
        <v>0.39444277999999999</v>
      </c>
      <c r="K194" s="1">
        <f>(B194+Table810[[#This Row],[grt]])/2</f>
        <v>2123.2626439999999</v>
      </c>
      <c r="L194" s="1">
        <f>(Table810[[#This Row],[prtsd]]+Table810[[#This Row],[grtsd]])/2</f>
        <v>786.79622444999995</v>
      </c>
      <c r="M194" s="1">
        <f>(Table810[[#This Row],[pacc]]+Table810[[#This Row],[gacc]])/2</f>
        <v>0.86624999999999996</v>
      </c>
      <c r="N194" s="1">
        <f>(Table810[[#This Row],[paccsd]]+Table810[[#This Row],[gaccsd]])/2</f>
        <v>0.33424514799999999</v>
      </c>
      <c r="O194">
        <f>Table810[[#This Row],[mrt]]-(Table810[[#This Row],[macc]]*1000)</f>
        <v>1257.0126439999999</v>
      </c>
      <c r="P194" s="9">
        <f>(Table810[[#This Row],[prt]]-Table810[[#This Row],[grt]])</f>
        <v>-433.30079799999999</v>
      </c>
      <c r="Q194" s="8">
        <f>Table810[[#This Row],[pacc]]-Table810[[#This Row],[gacc]]</f>
        <v>0.10750000000000004</v>
      </c>
      <c r="R194" s="8">
        <f>Table810[[#This Row],[rt_pairing_score]]-Table810[[#This Row],[acc_pairing_score]]</f>
        <v>-433.408298</v>
      </c>
    </row>
    <row r="195" spans="1:18" x14ac:dyDescent="0.25">
      <c r="A195" t="s">
        <v>233</v>
      </c>
      <c r="B195" s="1">
        <v>2092.8125</v>
      </c>
      <c r="C195" s="1">
        <v>691.0864914</v>
      </c>
      <c r="D195" s="1">
        <v>0.9375</v>
      </c>
      <c r="E195" s="1">
        <v>0.24462302699999999</v>
      </c>
      <c r="F195" s="1">
        <v>324</v>
      </c>
      <c r="G195" s="1">
        <v>2098.382979</v>
      </c>
      <c r="H195" s="1">
        <v>686.38227889999996</v>
      </c>
      <c r="I195" s="1">
        <v>0.75</v>
      </c>
      <c r="J195" s="1">
        <v>0.43759497400000003</v>
      </c>
      <c r="K195" s="1">
        <f>(B195+Table810[[#This Row],[grt]])/2</f>
        <v>2095.5977395</v>
      </c>
      <c r="L195" s="1">
        <f>(Table810[[#This Row],[prtsd]]+Table810[[#This Row],[grtsd]])/2</f>
        <v>688.73438514999998</v>
      </c>
      <c r="M195" s="1">
        <f>(Table810[[#This Row],[pacc]]+Table810[[#This Row],[gacc]])/2</f>
        <v>0.84375</v>
      </c>
      <c r="N195" s="1">
        <f>(Table810[[#This Row],[paccsd]]+Table810[[#This Row],[gaccsd]])/2</f>
        <v>0.34110900050000004</v>
      </c>
      <c r="O195">
        <f>Table810[[#This Row],[mrt]]-(Table810[[#This Row],[macc]]*1000)</f>
        <v>1251.8477395</v>
      </c>
      <c r="P195" s="9">
        <f>(Table810[[#This Row],[prt]]-Table810[[#This Row],[grt]])</f>
        <v>-5.5704789999999775</v>
      </c>
      <c r="Q195" s="8">
        <f>Table810[[#This Row],[pacc]]-Table810[[#This Row],[gacc]]</f>
        <v>0.1875</v>
      </c>
      <c r="R195" s="8">
        <f>Table810[[#This Row],[rt_pairing_score]]-Table810[[#This Row],[acc_pairing_score]]</f>
        <v>-5.7579789999999775</v>
      </c>
    </row>
    <row r="196" spans="1:18" x14ac:dyDescent="0.25">
      <c r="A196" t="s">
        <v>291</v>
      </c>
      <c r="B196" s="1">
        <v>2206.0816329999998</v>
      </c>
      <c r="C196" s="1">
        <v>721.25382249999996</v>
      </c>
      <c r="D196" s="1">
        <v>0.95918367299999996</v>
      </c>
      <c r="E196" s="1">
        <v>0.19991494800000001</v>
      </c>
      <c r="F196" s="1">
        <v>211</v>
      </c>
      <c r="G196" s="1">
        <v>2210.085106</v>
      </c>
      <c r="H196" s="1">
        <v>718.99935989999994</v>
      </c>
      <c r="I196" s="1">
        <v>0.95833333300000001</v>
      </c>
      <c r="J196" s="1">
        <v>0.20194093699999999</v>
      </c>
      <c r="K196" s="1">
        <f>(B196+Table810[[#This Row],[grt]])/2</f>
        <v>2208.0833695000001</v>
      </c>
      <c r="L196" s="1">
        <f>(Table810[[#This Row],[prtsd]]+Table810[[#This Row],[grtsd]])/2</f>
        <v>720.12659119999989</v>
      </c>
      <c r="M196" s="1">
        <f>(Table810[[#This Row],[pacc]]+Table810[[#This Row],[gacc]])/2</f>
        <v>0.95875850299999998</v>
      </c>
      <c r="N196" s="1">
        <f>(Table810[[#This Row],[paccsd]]+Table810[[#This Row],[gaccsd]])/2</f>
        <v>0.20092794250000001</v>
      </c>
      <c r="O196">
        <f>Table810[[#This Row],[mrt]]-(Table810[[#This Row],[macc]]*1000)</f>
        <v>1249.3248665000001</v>
      </c>
      <c r="P196" s="9">
        <f>(Table810[[#This Row],[prt]]-Table810[[#This Row],[grt]])</f>
        <v>-4.0034730000002128</v>
      </c>
      <c r="Q196" s="8">
        <f>Table810[[#This Row],[pacc]]-Table810[[#This Row],[gacc]]</f>
        <v>8.5033999999994947E-4</v>
      </c>
      <c r="R196" s="8">
        <f>Table810[[#This Row],[rt_pairing_score]]-Table810[[#This Row],[acc_pairing_score]]</f>
        <v>-4.0043233400002123</v>
      </c>
    </row>
    <row r="197" spans="1:18" x14ac:dyDescent="0.25">
      <c r="A197" t="s">
        <v>112</v>
      </c>
      <c r="B197" s="1">
        <v>2041.895833</v>
      </c>
      <c r="C197" s="1">
        <v>749.61579489999997</v>
      </c>
      <c r="D197" s="1">
        <v>0.82</v>
      </c>
      <c r="E197" s="1">
        <v>0.38808793400000002</v>
      </c>
      <c r="F197" s="1">
        <v>141</v>
      </c>
      <c r="G197" s="1">
        <v>2170.2444439999999</v>
      </c>
      <c r="H197" s="1">
        <v>699.38125760000003</v>
      </c>
      <c r="I197" s="1">
        <v>0.89583333300000001</v>
      </c>
      <c r="J197" s="1">
        <v>0.30870927799999998</v>
      </c>
      <c r="K197" s="1">
        <f>(B197+Table810[[#This Row],[grt]])/2</f>
        <v>2106.0701385000002</v>
      </c>
      <c r="L197" s="1">
        <f>(Table810[[#This Row],[prtsd]]+Table810[[#This Row],[grtsd]])/2</f>
        <v>724.49852624999994</v>
      </c>
      <c r="M197" s="1">
        <f>(Table810[[#This Row],[pacc]]+Table810[[#This Row],[gacc]])/2</f>
        <v>0.85791666649999998</v>
      </c>
      <c r="N197" s="1">
        <f>(Table810[[#This Row],[paccsd]]+Table810[[#This Row],[gaccsd]])/2</f>
        <v>0.348398606</v>
      </c>
      <c r="O197">
        <f>Table810[[#This Row],[mrt]]-(Table810[[#This Row],[macc]]*1000)</f>
        <v>1248.1534720000002</v>
      </c>
      <c r="P197" s="9">
        <f>(Table810[[#This Row],[prt]]-Table810[[#This Row],[grt]])</f>
        <v>-128.34861099999989</v>
      </c>
      <c r="Q197" s="8">
        <f>Table810[[#This Row],[pacc]]-Table810[[#This Row],[gacc]]</f>
        <v>-7.5833333000000058E-2</v>
      </c>
      <c r="R197" s="8">
        <f>Table810[[#This Row],[rt_pairing_score]]-Table810[[#This Row],[acc_pairing_score]]</f>
        <v>-128.2727776669999</v>
      </c>
    </row>
    <row r="198" spans="1:18" x14ac:dyDescent="0.25">
      <c r="A198" t="s">
        <v>194</v>
      </c>
      <c r="B198" s="1">
        <v>2165.4375</v>
      </c>
      <c r="C198" s="1">
        <v>616.75926909999998</v>
      </c>
      <c r="D198" s="1">
        <v>0.91666666699999999</v>
      </c>
      <c r="E198" s="1">
        <v>0.27931019400000001</v>
      </c>
      <c r="F198" s="1">
        <v>47</v>
      </c>
      <c r="G198" s="1">
        <v>2203.6956519999999</v>
      </c>
      <c r="H198" s="1">
        <v>615.82587260000003</v>
      </c>
      <c r="I198" s="1">
        <v>0.95744680900000001</v>
      </c>
      <c r="J198" s="1">
        <v>0.204029709</v>
      </c>
      <c r="K198" s="1">
        <f>(B198+Table810[[#This Row],[grt]])/2</f>
        <v>2184.5665760000002</v>
      </c>
      <c r="L198" s="1">
        <f>(Table810[[#This Row],[prtsd]]+Table810[[#This Row],[grtsd]])/2</f>
        <v>616.29257084999995</v>
      </c>
      <c r="M198" s="1">
        <f>(Table810[[#This Row],[pacc]]+Table810[[#This Row],[gacc]])/2</f>
        <v>0.937056738</v>
      </c>
      <c r="N198" s="1">
        <f>(Table810[[#This Row],[paccsd]]+Table810[[#This Row],[gaccsd]])/2</f>
        <v>0.24166995150000001</v>
      </c>
      <c r="O198">
        <f>Table810[[#This Row],[mrt]]-(Table810[[#This Row],[macc]]*1000)</f>
        <v>1247.5098380000002</v>
      </c>
      <c r="P198" s="9">
        <f>(Table810[[#This Row],[prt]]-Table810[[#This Row],[grt]])</f>
        <v>-38.258151999999882</v>
      </c>
      <c r="Q198" s="8">
        <f>Table810[[#This Row],[pacc]]-Table810[[#This Row],[gacc]]</f>
        <v>-4.0780142000000019E-2</v>
      </c>
      <c r="R198" s="8">
        <f>Table810[[#This Row],[rt_pairing_score]]-Table810[[#This Row],[acc_pairing_score]]</f>
        <v>-38.217371857999879</v>
      </c>
    </row>
    <row r="199" spans="1:18" x14ac:dyDescent="0.25">
      <c r="A199" t="s">
        <v>256</v>
      </c>
      <c r="B199" s="1">
        <v>2112.52</v>
      </c>
      <c r="C199" s="1">
        <v>725.71907309999995</v>
      </c>
      <c r="D199" s="1">
        <v>0.94</v>
      </c>
      <c r="E199" s="1">
        <v>0.23989793700000001</v>
      </c>
      <c r="F199" s="1">
        <v>220</v>
      </c>
      <c r="G199" s="1">
        <v>2126.3125</v>
      </c>
      <c r="H199" s="1">
        <v>722.28812419999997</v>
      </c>
      <c r="I199" s="1">
        <v>0.8125</v>
      </c>
      <c r="J199" s="1">
        <v>0.39444277999999999</v>
      </c>
      <c r="K199" s="1">
        <f>(B199+Table810[[#This Row],[grt]])/2</f>
        <v>2119.4162500000002</v>
      </c>
      <c r="L199" s="1">
        <f>(Table810[[#This Row],[prtsd]]+Table810[[#This Row],[grtsd]])/2</f>
        <v>724.00359864999996</v>
      </c>
      <c r="M199" s="1">
        <f>(Table810[[#This Row],[pacc]]+Table810[[#This Row],[gacc]])/2</f>
        <v>0.87624999999999997</v>
      </c>
      <c r="N199" s="1">
        <f>(Table810[[#This Row],[paccsd]]+Table810[[#This Row],[gaccsd]])/2</f>
        <v>0.31717035849999997</v>
      </c>
      <c r="O199">
        <f>Table810[[#This Row],[mrt]]-(Table810[[#This Row],[macc]]*1000)</f>
        <v>1243.1662500000002</v>
      </c>
      <c r="P199" s="9">
        <f>(Table810[[#This Row],[prt]]-Table810[[#This Row],[grt]])</f>
        <v>-13.792500000000018</v>
      </c>
      <c r="Q199" s="8">
        <f>Table810[[#This Row],[pacc]]-Table810[[#This Row],[gacc]]</f>
        <v>0.12749999999999995</v>
      </c>
      <c r="R199" s="8">
        <f>Table810[[#This Row],[rt_pairing_score]]-Table810[[#This Row],[acc_pairing_score]]</f>
        <v>-13.920000000000018</v>
      </c>
    </row>
    <row r="200" spans="1:18" x14ac:dyDescent="0.25">
      <c r="A200" t="s">
        <v>216</v>
      </c>
      <c r="B200" s="1">
        <v>2166.530612</v>
      </c>
      <c r="C200" s="1">
        <v>727.64784010000005</v>
      </c>
      <c r="D200" s="1">
        <v>0.92</v>
      </c>
      <c r="E200" s="1">
        <v>0.27404751599999999</v>
      </c>
      <c r="F200" s="1">
        <v>636</v>
      </c>
      <c r="G200" s="1">
        <v>2175.270833</v>
      </c>
      <c r="H200" s="1">
        <v>724.37831719999997</v>
      </c>
      <c r="I200" s="1">
        <v>0.9375</v>
      </c>
      <c r="J200" s="1">
        <v>0.24462302699999999</v>
      </c>
      <c r="K200" s="1">
        <f>(B200+Table810[[#This Row],[grt]])/2</f>
        <v>2170.9007225</v>
      </c>
      <c r="L200" s="1">
        <f>(Table810[[#This Row],[prtsd]]+Table810[[#This Row],[grtsd]])/2</f>
        <v>726.01307865000001</v>
      </c>
      <c r="M200" s="1">
        <f>(Table810[[#This Row],[pacc]]+Table810[[#This Row],[gacc]])/2</f>
        <v>0.92874999999999996</v>
      </c>
      <c r="N200" s="1">
        <f>(Table810[[#This Row],[paccsd]]+Table810[[#This Row],[gaccsd]])/2</f>
        <v>0.25933527150000002</v>
      </c>
      <c r="O200">
        <f>Table810[[#This Row],[mrt]]-(Table810[[#This Row],[macc]]*1000)</f>
        <v>1242.1507225</v>
      </c>
      <c r="P200" s="9">
        <f>(Table810[[#This Row],[prt]]-Table810[[#This Row],[grt]])</f>
        <v>-8.7402210000000196</v>
      </c>
      <c r="Q200" s="8">
        <f>Table810[[#This Row],[pacc]]-Table810[[#This Row],[gacc]]</f>
        <v>-1.749999999999996E-2</v>
      </c>
      <c r="R200" s="8">
        <f>Table810[[#This Row],[rt_pairing_score]]-Table810[[#This Row],[acc_pairing_score]]</f>
        <v>-8.7227210000000195</v>
      </c>
    </row>
    <row r="201" spans="1:18" x14ac:dyDescent="0.25">
      <c r="A201" t="s">
        <v>217</v>
      </c>
      <c r="B201" s="1">
        <v>1923.9795919999999</v>
      </c>
      <c r="C201" s="1">
        <v>783.93644749999999</v>
      </c>
      <c r="D201" s="1">
        <v>0.92</v>
      </c>
      <c r="E201" s="1">
        <v>0.27404751599999999</v>
      </c>
      <c r="F201" s="1">
        <v>641</v>
      </c>
      <c r="G201" s="1">
        <v>2229.0212769999998</v>
      </c>
      <c r="H201" s="1">
        <v>692.47870750000004</v>
      </c>
      <c r="I201" s="1">
        <v>0.75</v>
      </c>
      <c r="J201" s="1">
        <v>0.43759497400000003</v>
      </c>
      <c r="K201" s="1">
        <f>(B201+Table810[[#This Row],[grt]])/2</f>
        <v>2076.5004344999998</v>
      </c>
      <c r="L201" s="1">
        <f>(Table810[[#This Row],[prtsd]]+Table810[[#This Row],[grtsd]])/2</f>
        <v>738.20757750000007</v>
      </c>
      <c r="M201" s="1">
        <f>(Table810[[#This Row],[pacc]]+Table810[[#This Row],[gacc]])/2</f>
        <v>0.83499999999999996</v>
      </c>
      <c r="N201" s="1">
        <f>(Table810[[#This Row],[paccsd]]+Table810[[#This Row],[gaccsd]])/2</f>
        <v>0.35582124500000001</v>
      </c>
      <c r="O201">
        <f>Table810[[#This Row],[mrt]]-(Table810[[#This Row],[macc]]*1000)</f>
        <v>1241.5004344999998</v>
      </c>
      <c r="P201" s="9">
        <f>(Table810[[#This Row],[prt]]-Table810[[#This Row],[grt]])</f>
        <v>-305.04168499999992</v>
      </c>
      <c r="Q201" s="8">
        <f>Table810[[#This Row],[pacc]]-Table810[[#This Row],[gacc]]</f>
        <v>0.17000000000000004</v>
      </c>
      <c r="R201" s="8">
        <f>Table810[[#This Row],[rt_pairing_score]]-Table810[[#This Row],[acc_pairing_score]]</f>
        <v>-305.21168499999993</v>
      </c>
    </row>
    <row r="202" spans="1:18" x14ac:dyDescent="0.25">
      <c r="A202" t="s">
        <v>83</v>
      </c>
      <c r="B202" s="1">
        <v>2035.1632649999999</v>
      </c>
      <c r="C202" s="1">
        <v>762.26661309999997</v>
      </c>
      <c r="D202" s="1">
        <v>0.77551020400000004</v>
      </c>
      <c r="E202" s="1">
        <v>0.42156979100000003</v>
      </c>
      <c r="F202" s="1">
        <v>437</v>
      </c>
      <c r="G202" s="1">
        <v>2145.770833</v>
      </c>
      <c r="H202" s="1">
        <v>682.16137230000004</v>
      </c>
      <c r="I202" s="1">
        <v>0.9375</v>
      </c>
      <c r="J202" s="1">
        <v>0.24462302699999999</v>
      </c>
      <c r="K202" s="1">
        <f>(B202+Table810[[#This Row],[grt]])/2</f>
        <v>2090.4670489999999</v>
      </c>
      <c r="L202" s="1">
        <f>(Table810[[#This Row],[prtsd]]+Table810[[#This Row],[grtsd]])/2</f>
        <v>722.21399270000006</v>
      </c>
      <c r="M202" s="1">
        <f>(Table810[[#This Row],[pacc]]+Table810[[#This Row],[gacc]])/2</f>
        <v>0.85650510200000007</v>
      </c>
      <c r="N202" s="1">
        <f>(Table810[[#This Row],[paccsd]]+Table810[[#This Row],[gaccsd]])/2</f>
        <v>0.33309640900000004</v>
      </c>
      <c r="O202">
        <f>Table810[[#This Row],[mrt]]-(Table810[[#This Row],[macc]]*1000)</f>
        <v>1233.9619469999998</v>
      </c>
      <c r="P202" s="9">
        <f>(Table810[[#This Row],[prt]]-Table810[[#This Row],[grt]])</f>
        <v>-110.60756800000013</v>
      </c>
      <c r="Q202" s="8">
        <f>Table810[[#This Row],[pacc]]-Table810[[#This Row],[gacc]]</f>
        <v>-0.16198979599999996</v>
      </c>
      <c r="R202" s="8">
        <f>Table810[[#This Row],[rt_pairing_score]]-Table810[[#This Row],[acc_pairing_score]]</f>
        <v>-110.44557820400013</v>
      </c>
    </row>
    <row r="203" spans="1:18" x14ac:dyDescent="0.25">
      <c r="A203" t="s">
        <v>155</v>
      </c>
      <c r="B203" s="1">
        <v>2148.3191489999999</v>
      </c>
      <c r="C203" s="1">
        <v>777.62699529999998</v>
      </c>
      <c r="D203" s="1">
        <v>0.88</v>
      </c>
      <c r="E203" s="1">
        <v>0.32826072299999998</v>
      </c>
      <c r="F203" s="1">
        <v>115</v>
      </c>
      <c r="G203" s="1">
        <v>2150.913043</v>
      </c>
      <c r="H203" s="1">
        <v>766.13375180000003</v>
      </c>
      <c r="I203" s="1">
        <v>0.95744680900000001</v>
      </c>
      <c r="J203" s="1">
        <v>0.204029709</v>
      </c>
      <c r="K203" s="1">
        <f>(B203+Table810[[#This Row],[grt]])/2</f>
        <v>2149.6160959999997</v>
      </c>
      <c r="L203" s="1">
        <f>(Table810[[#This Row],[prtsd]]+Table810[[#This Row],[grtsd]])/2</f>
        <v>771.88037355000006</v>
      </c>
      <c r="M203" s="1">
        <f>(Table810[[#This Row],[pacc]]+Table810[[#This Row],[gacc]])/2</f>
        <v>0.91872340450000001</v>
      </c>
      <c r="N203" s="1">
        <f>(Table810[[#This Row],[paccsd]]+Table810[[#This Row],[gaccsd]])/2</f>
        <v>0.26614521599999996</v>
      </c>
      <c r="O203">
        <f>Table810[[#This Row],[mrt]]-(Table810[[#This Row],[macc]]*1000)</f>
        <v>1230.8926914999997</v>
      </c>
      <c r="P203" s="9">
        <f>(Table810[[#This Row],[prt]]-Table810[[#This Row],[grt]])</f>
        <v>-2.5938940000000912</v>
      </c>
      <c r="Q203" s="8">
        <f>Table810[[#This Row],[pacc]]-Table810[[#This Row],[gacc]]</f>
        <v>-7.7446809000000005E-2</v>
      </c>
      <c r="R203" s="8">
        <f>Table810[[#This Row],[rt_pairing_score]]-Table810[[#This Row],[acc_pairing_score]]</f>
        <v>-2.5164471910000912</v>
      </c>
    </row>
    <row r="204" spans="1:18" x14ac:dyDescent="0.25">
      <c r="A204" t="s">
        <v>266</v>
      </c>
      <c r="B204" s="1">
        <v>2044.265306</v>
      </c>
      <c r="C204" s="1">
        <v>751.9095628</v>
      </c>
      <c r="D204" s="1">
        <v>0.94</v>
      </c>
      <c r="E204" s="1">
        <v>0.23989793700000001</v>
      </c>
      <c r="F204" s="1">
        <v>495</v>
      </c>
      <c r="G204" s="1">
        <v>2220.5454549999999</v>
      </c>
      <c r="H204" s="1">
        <v>714.13556310000001</v>
      </c>
      <c r="I204" s="1">
        <v>0.87234042599999995</v>
      </c>
      <c r="J204" s="1">
        <v>0.33731814900000001</v>
      </c>
      <c r="K204" s="1">
        <f>(B204+Table810[[#This Row],[grt]])/2</f>
        <v>2132.4053804999999</v>
      </c>
      <c r="L204" s="1">
        <f>(Table810[[#This Row],[prtsd]]+Table810[[#This Row],[grtsd]])/2</f>
        <v>733.02256295000007</v>
      </c>
      <c r="M204" s="1">
        <f>(Table810[[#This Row],[pacc]]+Table810[[#This Row],[gacc]])/2</f>
        <v>0.906170213</v>
      </c>
      <c r="N204" s="1">
        <f>(Table810[[#This Row],[paccsd]]+Table810[[#This Row],[gaccsd]])/2</f>
        <v>0.28860804299999998</v>
      </c>
      <c r="O204">
        <f>Table810[[#This Row],[mrt]]-(Table810[[#This Row],[macc]]*1000)</f>
        <v>1226.2351675</v>
      </c>
      <c r="P204" s="9">
        <f>(Table810[[#This Row],[prt]]-Table810[[#This Row],[grt]])</f>
        <v>-176.28014899999994</v>
      </c>
      <c r="Q204" s="8">
        <f>Table810[[#This Row],[pacc]]-Table810[[#This Row],[gacc]]</f>
        <v>6.7659574E-2</v>
      </c>
      <c r="R204" s="8">
        <f>Table810[[#This Row],[rt_pairing_score]]-Table810[[#This Row],[acc_pairing_score]]</f>
        <v>-176.34780857399994</v>
      </c>
    </row>
    <row r="205" spans="1:18" x14ac:dyDescent="0.25">
      <c r="A205" t="s">
        <v>123</v>
      </c>
      <c r="B205" s="1">
        <v>2107.9565219999999</v>
      </c>
      <c r="C205" s="1">
        <v>758.86886460000005</v>
      </c>
      <c r="D205" s="1">
        <v>0.836734694</v>
      </c>
      <c r="E205" s="1">
        <v>0.37343778900000002</v>
      </c>
      <c r="F205" s="1">
        <v>19</v>
      </c>
      <c r="G205" s="1">
        <v>2136.166667</v>
      </c>
      <c r="H205" s="1">
        <v>762.32964149999998</v>
      </c>
      <c r="I205" s="1">
        <v>0.95833333300000001</v>
      </c>
      <c r="J205" s="1">
        <v>0.20194093699999999</v>
      </c>
      <c r="K205" s="1">
        <f>(B205+Table810[[#This Row],[grt]])/2</f>
        <v>2122.0615945</v>
      </c>
      <c r="L205" s="1">
        <f>(Table810[[#This Row],[prtsd]]+Table810[[#This Row],[grtsd]])/2</f>
        <v>760.59925305000002</v>
      </c>
      <c r="M205" s="1">
        <f>(Table810[[#This Row],[pacc]]+Table810[[#This Row],[gacc]])/2</f>
        <v>0.89753401350000006</v>
      </c>
      <c r="N205" s="1">
        <f>(Table810[[#This Row],[paccsd]]+Table810[[#This Row],[gaccsd]])/2</f>
        <v>0.28768936300000003</v>
      </c>
      <c r="O205">
        <f>Table810[[#This Row],[mrt]]-(Table810[[#This Row],[macc]]*1000)</f>
        <v>1224.5275809999998</v>
      </c>
      <c r="P205" s="9">
        <f>(Table810[[#This Row],[prt]]-Table810[[#This Row],[grt]])</f>
        <v>-28.210145000000011</v>
      </c>
      <c r="Q205" s="8">
        <f>Table810[[#This Row],[pacc]]-Table810[[#This Row],[gacc]]</f>
        <v>-0.12159863900000001</v>
      </c>
      <c r="R205" s="8">
        <f>Table810[[#This Row],[rt_pairing_score]]-Table810[[#This Row],[acc_pairing_score]]</f>
        <v>-28.088546361000013</v>
      </c>
    </row>
    <row r="206" spans="1:18" x14ac:dyDescent="0.25">
      <c r="A206" t="s">
        <v>130</v>
      </c>
      <c r="B206" s="1">
        <v>2148.113636</v>
      </c>
      <c r="C206" s="1">
        <v>631.56793500000003</v>
      </c>
      <c r="D206" s="1">
        <v>0.85416666699999999</v>
      </c>
      <c r="E206" s="1">
        <v>0.35667395800000001</v>
      </c>
      <c r="F206" s="1">
        <v>2</v>
      </c>
      <c r="G206" s="1">
        <v>2129.3846149999999</v>
      </c>
      <c r="H206" s="1">
        <v>634.51409569999998</v>
      </c>
      <c r="I206" s="1">
        <v>0.97435897400000004</v>
      </c>
      <c r="J206" s="1">
        <v>0.16012815399999999</v>
      </c>
      <c r="K206" s="1">
        <f>(B206+Table810[[#This Row],[grt]])/2</f>
        <v>2138.7491255</v>
      </c>
      <c r="L206" s="1">
        <f>(Table810[[#This Row],[prtsd]]+Table810[[#This Row],[grtsd]])/2</f>
        <v>633.04101534999995</v>
      </c>
      <c r="M206" s="1">
        <f>(Table810[[#This Row],[pacc]]+Table810[[#This Row],[gacc]])/2</f>
        <v>0.91426282050000007</v>
      </c>
      <c r="N206" s="1">
        <f>(Table810[[#This Row],[paccsd]]+Table810[[#This Row],[gaccsd]])/2</f>
        <v>0.25840105600000002</v>
      </c>
      <c r="O206">
        <f>Table810[[#This Row],[mrt]]-(Table810[[#This Row],[macc]]*1000)</f>
        <v>1224.4863049999999</v>
      </c>
      <c r="P206" s="9">
        <f>(Table810[[#This Row],[prt]]-Table810[[#This Row],[grt]])</f>
        <v>18.729021000000103</v>
      </c>
      <c r="Q206" s="8">
        <f>Table810[[#This Row],[pacc]]-Table810[[#This Row],[gacc]]</f>
        <v>-0.12019230700000005</v>
      </c>
      <c r="R206" s="8">
        <f>Table810[[#This Row],[rt_pairing_score]]-Table810[[#This Row],[acc_pairing_score]]</f>
        <v>18.849213307000102</v>
      </c>
    </row>
    <row r="207" spans="1:18" x14ac:dyDescent="0.25">
      <c r="A207" t="s">
        <v>147</v>
      </c>
      <c r="B207" s="1">
        <v>2018.708333</v>
      </c>
      <c r="C207" s="1">
        <v>750.33958150000001</v>
      </c>
      <c r="D207" s="1">
        <v>0.87755101999999996</v>
      </c>
      <c r="E207" s="1">
        <v>0.33120066100000001</v>
      </c>
      <c r="F207" s="1">
        <v>688</v>
      </c>
      <c r="G207" s="1">
        <v>2159.458333</v>
      </c>
      <c r="H207" s="1">
        <v>695.40317279999999</v>
      </c>
      <c r="I207" s="1">
        <v>0.85416666699999999</v>
      </c>
      <c r="J207" s="1">
        <v>0.35667395800000001</v>
      </c>
      <c r="K207" s="1">
        <f>(B207+Table810[[#This Row],[grt]])/2</f>
        <v>2089.083333</v>
      </c>
      <c r="L207" s="1">
        <f>(Table810[[#This Row],[prtsd]]+Table810[[#This Row],[grtsd]])/2</f>
        <v>722.87137714999994</v>
      </c>
      <c r="M207" s="1">
        <f>(Table810[[#This Row],[pacc]]+Table810[[#This Row],[gacc]])/2</f>
        <v>0.86585884349999998</v>
      </c>
      <c r="N207" s="1">
        <f>(Table810[[#This Row],[paccsd]]+Table810[[#This Row],[gaccsd]])/2</f>
        <v>0.34393730950000001</v>
      </c>
      <c r="O207">
        <f>Table810[[#This Row],[mrt]]-(Table810[[#This Row],[macc]]*1000)</f>
        <v>1223.2244895000001</v>
      </c>
      <c r="P207" s="9">
        <f>(Table810[[#This Row],[prt]]-Table810[[#This Row],[grt]])</f>
        <v>-140.75</v>
      </c>
      <c r="Q207" s="8">
        <f>Table810[[#This Row],[pacc]]-Table810[[#This Row],[gacc]]</f>
        <v>2.3384352999999969E-2</v>
      </c>
      <c r="R207" s="8">
        <f>Table810[[#This Row],[rt_pairing_score]]-Table810[[#This Row],[acc_pairing_score]]</f>
        <v>-140.77338435300001</v>
      </c>
    </row>
    <row r="208" spans="1:18" x14ac:dyDescent="0.25">
      <c r="A208" t="s">
        <v>178</v>
      </c>
      <c r="B208" s="1">
        <v>2100.520833</v>
      </c>
      <c r="C208" s="1">
        <v>731.21024680000005</v>
      </c>
      <c r="D208" s="1">
        <v>0.89795918399999997</v>
      </c>
      <c r="E208" s="1">
        <v>0.30583887100000001</v>
      </c>
      <c r="F208" s="1">
        <v>463</v>
      </c>
      <c r="G208" s="1">
        <v>2154.3404260000002</v>
      </c>
      <c r="H208" s="1">
        <v>712.73546150000004</v>
      </c>
      <c r="I208" s="1">
        <v>0.91489361700000005</v>
      </c>
      <c r="J208" s="1">
        <v>0.28205667299999998</v>
      </c>
      <c r="K208" s="1">
        <f>(B208+Table810[[#This Row],[grt]])/2</f>
        <v>2127.4306295000001</v>
      </c>
      <c r="L208" s="1">
        <f>(Table810[[#This Row],[prtsd]]+Table810[[#This Row],[grtsd]])/2</f>
        <v>721.9728541500001</v>
      </c>
      <c r="M208" s="1">
        <f>(Table810[[#This Row],[pacc]]+Table810[[#This Row],[gacc]])/2</f>
        <v>0.90642640050000001</v>
      </c>
      <c r="N208" s="1">
        <f>(Table810[[#This Row],[paccsd]]+Table810[[#This Row],[gaccsd]])/2</f>
        <v>0.293947772</v>
      </c>
      <c r="O208">
        <f>Table810[[#This Row],[mrt]]-(Table810[[#This Row],[macc]]*1000)</f>
        <v>1221.0042290000001</v>
      </c>
      <c r="P208" s="9">
        <f>(Table810[[#This Row],[prt]]-Table810[[#This Row],[grt]])</f>
        <v>-53.819593000000168</v>
      </c>
      <c r="Q208" s="8">
        <f>Table810[[#This Row],[pacc]]-Table810[[#This Row],[gacc]]</f>
        <v>-1.6934433000000082E-2</v>
      </c>
      <c r="R208" s="8">
        <f>Table810[[#This Row],[rt_pairing_score]]-Table810[[#This Row],[acc_pairing_score]]</f>
        <v>-53.802658567000165</v>
      </c>
    </row>
    <row r="209" spans="1:18" x14ac:dyDescent="0.25">
      <c r="A209" t="s">
        <v>187</v>
      </c>
      <c r="B209" s="1">
        <v>2137.6999999999998</v>
      </c>
      <c r="C209" s="1">
        <v>828.64517530000001</v>
      </c>
      <c r="D209" s="1">
        <v>0.9</v>
      </c>
      <c r="E209" s="1">
        <v>0.30304576300000002</v>
      </c>
      <c r="F209" s="1">
        <v>231</v>
      </c>
      <c r="G209" s="1">
        <v>2107.7659570000001</v>
      </c>
      <c r="H209" s="1">
        <v>832.10422670000003</v>
      </c>
      <c r="I209" s="1">
        <v>0.91489361700000005</v>
      </c>
      <c r="J209" s="1">
        <v>0.28205667299999998</v>
      </c>
      <c r="K209" s="1">
        <f>(B209+Table810[[#This Row],[grt]])/2</f>
        <v>2122.7329785000002</v>
      </c>
      <c r="L209" s="1">
        <f>(Table810[[#This Row],[prtsd]]+Table810[[#This Row],[grtsd]])/2</f>
        <v>830.37470099999996</v>
      </c>
      <c r="M209" s="1">
        <f>(Table810[[#This Row],[pacc]]+Table810[[#This Row],[gacc]])/2</f>
        <v>0.90744680850000004</v>
      </c>
      <c r="N209" s="1">
        <f>(Table810[[#This Row],[paccsd]]+Table810[[#This Row],[gaccsd]])/2</f>
        <v>0.292551218</v>
      </c>
      <c r="O209">
        <f>Table810[[#This Row],[mrt]]-(Table810[[#This Row],[macc]]*1000)</f>
        <v>1215.2861700000001</v>
      </c>
      <c r="P209" s="9">
        <f>(Table810[[#This Row],[prt]]-Table810[[#This Row],[grt]])</f>
        <v>29.934042999999747</v>
      </c>
      <c r="Q209" s="8">
        <f>Table810[[#This Row],[pacc]]-Table810[[#This Row],[gacc]]</f>
        <v>-1.4893617000000026E-2</v>
      </c>
      <c r="R209" s="8">
        <f>Table810[[#This Row],[rt_pairing_score]]-Table810[[#This Row],[acc_pairing_score]]</f>
        <v>29.948936616999745</v>
      </c>
    </row>
    <row r="210" spans="1:18" x14ac:dyDescent="0.25">
      <c r="A210" t="s">
        <v>205</v>
      </c>
      <c r="B210" s="1">
        <v>2153.7142859999999</v>
      </c>
      <c r="C210" s="1">
        <v>707.23558070000001</v>
      </c>
      <c r="D210" s="1">
        <v>0.918367347</v>
      </c>
      <c r="E210" s="1">
        <v>0.27664166800000001</v>
      </c>
      <c r="F210" s="1">
        <v>162</v>
      </c>
      <c r="G210" s="1">
        <v>2149.5625</v>
      </c>
      <c r="H210" s="1">
        <v>704.56804050000005</v>
      </c>
      <c r="I210" s="1">
        <v>0.97916666699999999</v>
      </c>
      <c r="J210" s="1">
        <v>0.144337567</v>
      </c>
      <c r="K210" s="1">
        <f>(B210+Table810[[#This Row],[grt]])/2</f>
        <v>2151.6383930000002</v>
      </c>
      <c r="L210" s="1">
        <f>(Table810[[#This Row],[prtsd]]+Table810[[#This Row],[grtsd]])/2</f>
        <v>705.90181060000009</v>
      </c>
      <c r="M210" s="1">
        <f>(Table810[[#This Row],[pacc]]+Table810[[#This Row],[gacc]])/2</f>
        <v>0.94876700700000005</v>
      </c>
      <c r="N210" s="1">
        <f>(Table810[[#This Row],[paccsd]]+Table810[[#This Row],[gaccsd]])/2</f>
        <v>0.2104896175</v>
      </c>
      <c r="O210">
        <f>Table810[[#This Row],[mrt]]-(Table810[[#This Row],[macc]]*1000)</f>
        <v>1202.8713860000003</v>
      </c>
      <c r="P210" s="9">
        <f>(Table810[[#This Row],[prt]]-Table810[[#This Row],[grt]])</f>
        <v>4.1517859999999018</v>
      </c>
      <c r="Q210" s="8">
        <f>Table810[[#This Row],[pacc]]-Table810[[#This Row],[gacc]]</f>
        <v>-6.079931999999999E-2</v>
      </c>
      <c r="R210" s="8">
        <f>Table810[[#This Row],[rt_pairing_score]]-Table810[[#This Row],[acc_pairing_score]]</f>
        <v>4.2125853199999019</v>
      </c>
    </row>
    <row r="211" spans="1:18" x14ac:dyDescent="0.25">
      <c r="A211" t="s">
        <v>113</v>
      </c>
      <c r="B211" s="1">
        <v>2105.66</v>
      </c>
      <c r="C211" s="1">
        <v>672.31611889999999</v>
      </c>
      <c r="D211" s="1">
        <v>0.82</v>
      </c>
      <c r="E211" s="1">
        <v>0.38808793400000002</v>
      </c>
      <c r="F211" s="1">
        <v>382</v>
      </c>
      <c r="G211" s="1">
        <v>2115.382979</v>
      </c>
      <c r="H211" s="1">
        <v>675.26289740000004</v>
      </c>
      <c r="I211" s="1">
        <v>1</v>
      </c>
      <c r="J211" s="1">
        <v>0</v>
      </c>
      <c r="K211" s="1">
        <f>(B211+Table810[[#This Row],[grt]])/2</f>
        <v>2110.5214894999999</v>
      </c>
      <c r="L211" s="1">
        <f>(Table810[[#This Row],[prtsd]]+Table810[[#This Row],[grtsd]])/2</f>
        <v>673.78950815000007</v>
      </c>
      <c r="M211" s="1">
        <f>(Table810[[#This Row],[pacc]]+Table810[[#This Row],[gacc]])/2</f>
        <v>0.90999999999999992</v>
      </c>
      <c r="N211" s="1">
        <f>(Table810[[#This Row],[paccsd]]+Table810[[#This Row],[gaccsd]])/2</f>
        <v>0.19404396700000001</v>
      </c>
      <c r="O211">
        <f>Table810[[#This Row],[mrt]]-(Table810[[#This Row],[macc]]*1000)</f>
        <v>1200.5214894999999</v>
      </c>
      <c r="P211" s="9">
        <f>(Table810[[#This Row],[prt]]-Table810[[#This Row],[grt]])</f>
        <v>-9.7229790000001231</v>
      </c>
      <c r="Q211" s="8">
        <f>Table810[[#This Row],[pacc]]-Table810[[#This Row],[gacc]]</f>
        <v>-0.18000000000000005</v>
      </c>
      <c r="R211" s="8">
        <f>Table810[[#This Row],[rt_pairing_score]]-Table810[[#This Row],[acc_pairing_score]]</f>
        <v>-9.5429790000001233</v>
      </c>
    </row>
    <row r="212" spans="1:18" x14ac:dyDescent="0.25">
      <c r="A212" t="s">
        <v>270</v>
      </c>
      <c r="B212" s="1">
        <v>2091.2653059999998</v>
      </c>
      <c r="C212" s="1">
        <v>744.13604199999997</v>
      </c>
      <c r="D212" s="1">
        <v>0.94</v>
      </c>
      <c r="E212" s="1">
        <v>0.23989793700000001</v>
      </c>
      <c r="F212" s="1">
        <v>579</v>
      </c>
      <c r="G212" s="1">
        <v>2096.2978720000001</v>
      </c>
      <c r="H212" s="1">
        <v>740.96599449999997</v>
      </c>
      <c r="I212" s="1">
        <v>0.85416666699999999</v>
      </c>
      <c r="J212" s="1">
        <v>0.35667395800000001</v>
      </c>
      <c r="K212" s="1">
        <f>(B212+Table810[[#This Row],[grt]])/2</f>
        <v>2093.7815890000002</v>
      </c>
      <c r="L212" s="1">
        <f>(Table810[[#This Row],[prtsd]]+Table810[[#This Row],[grtsd]])/2</f>
        <v>742.55101824999997</v>
      </c>
      <c r="M212" s="1">
        <f>(Table810[[#This Row],[pacc]]+Table810[[#This Row],[gacc]])/2</f>
        <v>0.89708333349999991</v>
      </c>
      <c r="N212" s="1">
        <f>(Table810[[#This Row],[paccsd]]+Table810[[#This Row],[gaccsd]])/2</f>
        <v>0.29828594750000004</v>
      </c>
      <c r="O212">
        <f>Table810[[#This Row],[mrt]]-(Table810[[#This Row],[macc]]*1000)</f>
        <v>1196.6982555000004</v>
      </c>
      <c r="P212" s="9">
        <f>(Table810[[#This Row],[prt]]-Table810[[#This Row],[grt]])</f>
        <v>-5.0325660000003154</v>
      </c>
      <c r="Q212" s="8">
        <f>Table810[[#This Row],[pacc]]-Table810[[#This Row],[gacc]]</f>
        <v>8.5833332999999956E-2</v>
      </c>
      <c r="R212" s="8">
        <f>Table810[[#This Row],[rt_pairing_score]]-Table810[[#This Row],[acc_pairing_score]]</f>
        <v>-5.1183993330003155</v>
      </c>
    </row>
    <row r="213" spans="1:18" x14ac:dyDescent="0.25">
      <c r="A213" t="s">
        <v>192</v>
      </c>
      <c r="B213" s="1">
        <v>2067.3617020000002</v>
      </c>
      <c r="C213" s="1">
        <v>751.08432989999994</v>
      </c>
      <c r="D213" s="1">
        <v>0.91489361700000005</v>
      </c>
      <c r="E213" s="1">
        <v>0.28205667299999998</v>
      </c>
      <c r="F213" s="1">
        <v>225</v>
      </c>
      <c r="G213" s="1">
        <v>2063.2340429999999</v>
      </c>
      <c r="H213" s="1">
        <v>739.36242249999998</v>
      </c>
      <c r="I213" s="1">
        <v>0.83333333300000001</v>
      </c>
      <c r="J213" s="1">
        <v>0.37662178899999998</v>
      </c>
      <c r="K213" s="1">
        <f>(B213+Table810[[#This Row],[grt]])/2</f>
        <v>2065.2978725000003</v>
      </c>
      <c r="L213" s="1">
        <f>(Table810[[#This Row],[prtsd]]+Table810[[#This Row],[grtsd]])/2</f>
        <v>745.22337619999996</v>
      </c>
      <c r="M213" s="1">
        <f>(Table810[[#This Row],[pacc]]+Table810[[#This Row],[gacc]])/2</f>
        <v>0.87411347500000003</v>
      </c>
      <c r="N213" s="1">
        <f>(Table810[[#This Row],[paccsd]]+Table810[[#This Row],[gaccsd]])/2</f>
        <v>0.32933923099999995</v>
      </c>
      <c r="O213">
        <f>Table810[[#This Row],[mrt]]-(Table810[[#This Row],[macc]]*1000)</f>
        <v>1191.1843975000002</v>
      </c>
      <c r="P213" s="9">
        <f>(Table810[[#This Row],[prt]]-Table810[[#This Row],[grt]])</f>
        <v>4.1276590000002216</v>
      </c>
      <c r="Q213" s="8">
        <f>Table810[[#This Row],[pacc]]-Table810[[#This Row],[gacc]]</f>
        <v>8.1560284000000038E-2</v>
      </c>
      <c r="R213" s="8">
        <f>Table810[[#This Row],[rt_pairing_score]]-Table810[[#This Row],[acc_pairing_score]]</f>
        <v>4.0460987160002215</v>
      </c>
    </row>
    <row r="214" spans="1:18" x14ac:dyDescent="0.25">
      <c r="A214" t="s">
        <v>288</v>
      </c>
      <c r="B214" s="1">
        <v>1853.122449</v>
      </c>
      <c r="C214" s="1">
        <v>799.68742940000004</v>
      </c>
      <c r="D214" s="1">
        <v>0.95918367299999996</v>
      </c>
      <c r="E214" s="1">
        <v>0.19991494800000001</v>
      </c>
      <c r="F214" s="1">
        <v>289</v>
      </c>
      <c r="G214" s="1">
        <v>2314.130435</v>
      </c>
      <c r="H214" s="1">
        <v>728.17923949999999</v>
      </c>
      <c r="I214" s="1">
        <v>0.83333333300000001</v>
      </c>
      <c r="J214" s="1">
        <v>0.37662178899999998</v>
      </c>
      <c r="K214" s="1">
        <f>(B214+Table810[[#This Row],[grt]])/2</f>
        <v>2083.6264419999998</v>
      </c>
      <c r="L214" s="1">
        <f>(Table810[[#This Row],[prtsd]]+Table810[[#This Row],[grtsd]])/2</f>
        <v>763.93333445000007</v>
      </c>
      <c r="M214" s="1">
        <f>(Table810[[#This Row],[pacc]]+Table810[[#This Row],[gacc]])/2</f>
        <v>0.89625850299999998</v>
      </c>
      <c r="N214" s="1">
        <f>(Table810[[#This Row],[paccsd]]+Table810[[#This Row],[gaccsd]])/2</f>
        <v>0.28826836849999998</v>
      </c>
      <c r="O214">
        <f>Table810[[#This Row],[mrt]]-(Table810[[#This Row],[macc]]*1000)</f>
        <v>1187.3679389999998</v>
      </c>
      <c r="P214" s="9">
        <f>(Table810[[#This Row],[prt]]-Table810[[#This Row],[grt]])</f>
        <v>-461.00798600000007</v>
      </c>
      <c r="Q214" s="8">
        <f>Table810[[#This Row],[pacc]]-Table810[[#This Row],[gacc]]</f>
        <v>0.12585033999999995</v>
      </c>
      <c r="R214" s="8">
        <f>Table810[[#This Row],[rt_pairing_score]]-Table810[[#This Row],[acc_pairing_score]]</f>
        <v>-461.13383634000007</v>
      </c>
    </row>
    <row r="215" spans="1:18" x14ac:dyDescent="0.25">
      <c r="A215" t="s">
        <v>272</v>
      </c>
      <c r="B215" s="1">
        <v>2088.5714290000001</v>
      </c>
      <c r="C215" s="1">
        <v>570.43316870000001</v>
      </c>
      <c r="D215" s="1">
        <v>0.94</v>
      </c>
      <c r="E215" s="1">
        <v>0.23989793700000001</v>
      </c>
      <c r="F215" s="1">
        <v>538</v>
      </c>
      <c r="G215" s="1">
        <v>2116.6521739999998</v>
      </c>
      <c r="H215" s="1">
        <v>583.8583625</v>
      </c>
      <c r="I215" s="1">
        <v>0.89130434800000002</v>
      </c>
      <c r="J215" s="1">
        <v>0.31469638799999999</v>
      </c>
      <c r="K215" s="1">
        <f>(B215+Table810[[#This Row],[grt]])/2</f>
        <v>2102.6118015000002</v>
      </c>
      <c r="L215" s="1">
        <f>(Table810[[#This Row],[prtsd]]+Table810[[#This Row],[grtsd]])/2</f>
        <v>577.1457656</v>
      </c>
      <c r="M215" s="1">
        <f>(Table810[[#This Row],[pacc]]+Table810[[#This Row],[gacc]])/2</f>
        <v>0.91565217399999999</v>
      </c>
      <c r="N215" s="1">
        <f>(Table810[[#This Row],[paccsd]]+Table810[[#This Row],[gaccsd]])/2</f>
        <v>0.27729716250000003</v>
      </c>
      <c r="O215">
        <f>Table810[[#This Row],[mrt]]-(Table810[[#This Row],[macc]]*1000)</f>
        <v>1186.9596275000004</v>
      </c>
      <c r="P215" s="9">
        <f>(Table810[[#This Row],[prt]]-Table810[[#This Row],[grt]])</f>
        <v>-28.080744999999752</v>
      </c>
      <c r="Q215" s="8">
        <f>Table810[[#This Row],[pacc]]-Table810[[#This Row],[gacc]]</f>
        <v>4.8695651999999923E-2</v>
      </c>
      <c r="R215" s="8">
        <f>Table810[[#This Row],[rt_pairing_score]]-Table810[[#This Row],[acc_pairing_score]]</f>
        <v>-28.129440651999751</v>
      </c>
    </row>
    <row r="216" spans="1:18" x14ac:dyDescent="0.25">
      <c r="A216" t="s">
        <v>193</v>
      </c>
      <c r="B216" s="1">
        <v>2105</v>
      </c>
      <c r="C216" s="1">
        <v>654.12554009999997</v>
      </c>
      <c r="D216" s="1">
        <v>0.91666666699999999</v>
      </c>
      <c r="E216" s="1">
        <v>0.27931019400000001</v>
      </c>
      <c r="F216" s="1">
        <v>293</v>
      </c>
      <c r="G216" s="1">
        <v>2090.311111</v>
      </c>
      <c r="H216" s="1">
        <v>661.50945920000004</v>
      </c>
      <c r="I216" s="1">
        <v>0.91489361700000005</v>
      </c>
      <c r="J216" s="1">
        <v>0.28205667299999998</v>
      </c>
      <c r="K216" s="1">
        <f>(B216+Table810[[#This Row],[grt]])/2</f>
        <v>2097.6555555</v>
      </c>
      <c r="L216" s="1">
        <f>(Table810[[#This Row],[prtsd]]+Table810[[#This Row],[grtsd]])/2</f>
        <v>657.81749964999995</v>
      </c>
      <c r="M216" s="1">
        <f>(Table810[[#This Row],[pacc]]+Table810[[#This Row],[gacc]])/2</f>
        <v>0.91578014200000002</v>
      </c>
      <c r="N216" s="1">
        <f>(Table810[[#This Row],[paccsd]]+Table810[[#This Row],[gaccsd]])/2</f>
        <v>0.28068343350000002</v>
      </c>
      <c r="O216">
        <f>Table810[[#This Row],[mrt]]-(Table810[[#This Row],[macc]]*1000)</f>
        <v>1181.8754134999999</v>
      </c>
      <c r="P216" s="9">
        <f>(Table810[[#This Row],[prt]]-Table810[[#This Row],[grt]])</f>
        <v>14.688889000000017</v>
      </c>
      <c r="Q216" s="8">
        <f>Table810[[#This Row],[pacc]]-Table810[[#This Row],[gacc]]</f>
        <v>1.7730499999999427E-3</v>
      </c>
      <c r="R216" s="8">
        <f>Table810[[#This Row],[rt_pairing_score]]-Table810[[#This Row],[acc_pairing_score]]</f>
        <v>14.687115950000017</v>
      </c>
    </row>
    <row r="217" spans="1:18" x14ac:dyDescent="0.25">
      <c r="A217" t="s">
        <v>146</v>
      </c>
      <c r="B217" s="1">
        <v>2106.291667</v>
      </c>
      <c r="C217" s="1">
        <v>705.76018950000002</v>
      </c>
      <c r="D217" s="1">
        <v>0.87755101999999996</v>
      </c>
      <c r="E217" s="1">
        <v>0.33120066100000001</v>
      </c>
      <c r="F217" s="1">
        <v>519</v>
      </c>
      <c r="G217" s="1">
        <v>2085.229167</v>
      </c>
      <c r="H217" s="1">
        <v>702.75449660000004</v>
      </c>
      <c r="I217" s="1">
        <v>0.95833333300000001</v>
      </c>
      <c r="J217" s="1">
        <v>0.20194093699999999</v>
      </c>
      <c r="K217" s="1">
        <f>(B217+Table810[[#This Row],[grt]])/2</f>
        <v>2095.760417</v>
      </c>
      <c r="L217" s="1">
        <f>(Table810[[#This Row],[prtsd]]+Table810[[#This Row],[grtsd]])/2</f>
        <v>704.25734305000003</v>
      </c>
      <c r="M217" s="1">
        <f>(Table810[[#This Row],[pacc]]+Table810[[#This Row],[gacc]])/2</f>
        <v>0.91794217649999998</v>
      </c>
      <c r="N217" s="1">
        <f>(Table810[[#This Row],[paccsd]]+Table810[[#This Row],[gaccsd]])/2</f>
        <v>0.26657079900000002</v>
      </c>
      <c r="O217">
        <f>Table810[[#This Row],[mrt]]-(Table810[[#This Row],[macc]]*1000)</f>
        <v>1177.8182405</v>
      </c>
      <c r="P217" s="9">
        <f>(Table810[[#This Row],[prt]]-Table810[[#This Row],[grt]])</f>
        <v>21.0625</v>
      </c>
      <c r="Q217" s="8">
        <f>Table810[[#This Row],[pacc]]-Table810[[#This Row],[gacc]]</f>
        <v>-8.078231300000005E-2</v>
      </c>
      <c r="R217" s="8">
        <f>Table810[[#This Row],[rt_pairing_score]]-Table810[[#This Row],[acc_pairing_score]]</f>
        <v>21.143282313</v>
      </c>
    </row>
    <row r="218" spans="1:18" x14ac:dyDescent="0.25">
      <c r="A218" t="s">
        <v>281</v>
      </c>
      <c r="B218" s="1">
        <v>2060.6122449999998</v>
      </c>
      <c r="C218" s="1">
        <v>578.93817369999999</v>
      </c>
      <c r="D218" s="1">
        <v>0.95918367299999996</v>
      </c>
      <c r="E218" s="1">
        <v>0.19991494800000001</v>
      </c>
      <c r="F218" s="1">
        <v>191</v>
      </c>
      <c r="G218" s="1">
        <v>2078.1739130000001</v>
      </c>
      <c r="H218" s="1">
        <v>604.82351159999996</v>
      </c>
      <c r="I218" s="1">
        <v>0.82978723399999998</v>
      </c>
      <c r="J218" s="1">
        <v>0.37988264399999999</v>
      </c>
      <c r="K218" s="1">
        <f>(B218+Table810[[#This Row],[grt]])/2</f>
        <v>2069.3930789999999</v>
      </c>
      <c r="L218" s="1">
        <f>(Table810[[#This Row],[prtsd]]+Table810[[#This Row],[grtsd]])/2</f>
        <v>591.88084264999998</v>
      </c>
      <c r="M218" s="1">
        <f>(Table810[[#This Row],[pacc]]+Table810[[#This Row],[gacc]])/2</f>
        <v>0.89448545349999997</v>
      </c>
      <c r="N218" s="1">
        <f>(Table810[[#This Row],[paccsd]]+Table810[[#This Row],[gaccsd]])/2</f>
        <v>0.28989879600000001</v>
      </c>
      <c r="O218">
        <f>Table810[[#This Row],[mrt]]-(Table810[[#This Row],[macc]]*1000)</f>
        <v>1174.9076255</v>
      </c>
      <c r="P218" s="9">
        <f>(Table810[[#This Row],[prt]]-Table810[[#This Row],[grt]])</f>
        <v>-17.561668000000282</v>
      </c>
      <c r="Q218" s="8">
        <f>Table810[[#This Row],[pacc]]-Table810[[#This Row],[gacc]]</f>
        <v>0.12939643899999997</v>
      </c>
      <c r="R218" s="8">
        <f>Table810[[#This Row],[rt_pairing_score]]-Table810[[#This Row],[acc_pairing_score]]</f>
        <v>-17.691064439000282</v>
      </c>
    </row>
    <row r="219" spans="1:18" x14ac:dyDescent="0.25">
      <c r="A219" t="s">
        <v>180</v>
      </c>
      <c r="B219" s="1">
        <v>2108.346939</v>
      </c>
      <c r="C219" s="1">
        <v>698.43186109999999</v>
      </c>
      <c r="D219" s="1">
        <v>0.89795918399999997</v>
      </c>
      <c r="E219" s="1">
        <v>0.30583887100000001</v>
      </c>
      <c r="F219" s="1">
        <v>313</v>
      </c>
      <c r="G219" s="1">
        <v>2096.8723399999999</v>
      </c>
      <c r="H219" s="1">
        <v>698.52585829999998</v>
      </c>
      <c r="I219" s="1">
        <v>0.95833333300000001</v>
      </c>
      <c r="J219" s="1">
        <v>0.20194093699999999</v>
      </c>
      <c r="K219" s="1">
        <f>(B219+Table810[[#This Row],[grt]])/2</f>
        <v>2102.6096395</v>
      </c>
      <c r="L219" s="1">
        <f>(Table810[[#This Row],[prtsd]]+Table810[[#This Row],[grtsd]])/2</f>
        <v>698.47885969999993</v>
      </c>
      <c r="M219" s="1">
        <f>(Table810[[#This Row],[pacc]]+Table810[[#This Row],[gacc]])/2</f>
        <v>0.92814625849999999</v>
      </c>
      <c r="N219" s="1">
        <f>(Table810[[#This Row],[paccsd]]+Table810[[#This Row],[gaccsd]])/2</f>
        <v>0.253889904</v>
      </c>
      <c r="O219">
        <f>Table810[[#This Row],[mrt]]-(Table810[[#This Row],[macc]]*1000)</f>
        <v>1174.463381</v>
      </c>
      <c r="P219" s="9">
        <f>(Table810[[#This Row],[prt]]-Table810[[#This Row],[grt]])</f>
        <v>11.474599000000126</v>
      </c>
      <c r="Q219" s="8">
        <f>Table810[[#This Row],[pacc]]-Table810[[#This Row],[gacc]]</f>
        <v>-6.0374149000000044E-2</v>
      </c>
      <c r="R219" s="8">
        <f>Table810[[#This Row],[rt_pairing_score]]-Table810[[#This Row],[acc_pairing_score]]</f>
        <v>11.534973149000125</v>
      </c>
    </row>
    <row r="220" spans="1:18" x14ac:dyDescent="0.25">
      <c r="A220" t="s">
        <v>67</v>
      </c>
      <c r="B220" s="1">
        <v>2014.6734690000001</v>
      </c>
      <c r="C220" s="1">
        <v>568.51042159999997</v>
      </c>
      <c r="D220" s="1">
        <v>0.74</v>
      </c>
      <c r="E220" s="1">
        <v>0.44308749800000002</v>
      </c>
      <c r="F220" s="1">
        <v>400</v>
      </c>
      <c r="G220" s="1">
        <v>2013.75</v>
      </c>
      <c r="H220" s="1">
        <v>575.77154529999996</v>
      </c>
      <c r="I220" s="1">
        <v>0.95833333300000001</v>
      </c>
      <c r="J220" s="1">
        <v>0.20194093699999999</v>
      </c>
      <c r="K220" s="1">
        <f>(B220+Table810[[#This Row],[grt]])/2</f>
        <v>2014.2117345000001</v>
      </c>
      <c r="L220" s="1">
        <f>(Table810[[#This Row],[prtsd]]+Table810[[#This Row],[grtsd]])/2</f>
        <v>572.14098345000002</v>
      </c>
      <c r="M220" s="1">
        <f>(Table810[[#This Row],[pacc]]+Table810[[#This Row],[gacc]])/2</f>
        <v>0.84916666649999994</v>
      </c>
      <c r="N220" s="1">
        <f>(Table810[[#This Row],[paccsd]]+Table810[[#This Row],[gaccsd]])/2</f>
        <v>0.32251421749999998</v>
      </c>
      <c r="O220">
        <f>Table810[[#This Row],[mrt]]-(Table810[[#This Row],[macc]]*1000)</f>
        <v>1165.0450680000004</v>
      </c>
      <c r="P220" s="9">
        <f>(Table810[[#This Row],[prt]]-Table810[[#This Row],[grt]])</f>
        <v>0.92346900000006826</v>
      </c>
      <c r="Q220" s="8">
        <f>Table810[[#This Row],[pacc]]-Table810[[#This Row],[gacc]]</f>
        <v>-0.21833333300000002</v>
      </c>
      <c r="R220" s="8">
        <f>Table810[[#This Row],[rt_pairing_score]]-Table810[[#This Row],[acc_pairing_score]]</f>
        <v>1.1418023330000682</v>
      </c>
    </row>
    <row r="221" spans="1:18" x14ac:dyDescent="0.25">
      <c r="A221" t="s">
        <v>153</v>
      </c>
      <c r="B221" s="1">
        <v>2070.8367349999999</v>
      </c>
      <c r="C221" s="1">
        <v>801.87211539999998</v>
      </c>
      <c r="D221" s="1">
        <v>0.87755101999999996</v>
      </c>
      <c r="E221" s="1">
        <v>0.33120066100000001</v>
      </c>
      <c r="F221" s="1">
        <v>85</v>
      </c>
      <c r="G221" s="1">
        <v>2051.0625</v>
      </c>
      <c r="H221" s="1">
        <v>791.37492540000005</v>
      </c>
      <c r="I221" s="1">
        <v>0.91666666699999999</v>
      </c>
      <c r="J221" s="1">
        <v>0.27931019400000001</v>
      </c>
      <c r="K221" s="1">
        <f>(B221+Table810[[#This Row],[grt]])/2</f>
        <v>2060.9496174999999</v>
      </c>
      <c r="L221" s="1">
        <f>(Table810[[#This Row],[prtsd]]+Table810[[#This Row],[grtsd]])/2</f>
        <v>796.62352039999996</v>
      </c>
      <c r="M221" s="1">
        <f>(Table810[[#This Row],[pacc]]+Table810[[#This Row],[gacc]])/2</f>
        <v>0.89710884349999998</v>
      </c>
      <c r="N221" s="1">
        <f>(Table810[[#This Row],[paccsd]]+Table810[[#This Row],[gaccsd]])/2</f>
        <v>0.30525542750000001</v>
      </c>
      <c r="O221">
        <f>Table810[[#This Row],[mrt]]-(Table810[[#This Row],[macc]]*1000)</f>
        <v>1163.840774</v>
      </c>
      <c r="P221" s="9">
        <f>(Table810[[#This Row],[prt]]-Table810[[#This Row],[grt]])</f>
        <v>19.774234999999862</v>
      </c>
      <c r="Q221" s="8">
        <f>Table810[[#This Row],[pacc]]-Table810[[#This Row],[gacc]]</f>
        <v>-3.9115647000000031E-2</v>
      </c>
      <c r="R221" s="8">
        <f>Table810[[#This Row],[rt_pairing_score]]-Table810[[#This Row],[acc_pairing_score]]</f>
        <v>19.813350646999861</v>
      </c>
    </row>
    <row r="222" spans="1:18" x14ac:dyDescent="0.25">
      <c r="A222" t="s">
        <v>314</v>
      </c>
      <c r="B222" s="1">
        <v>2082.9795920000001</v>
      </c>
      <c r="C222" s="1">
        <v>719.79309790000002</v>
      </c>
      <c r="D222" s="1">
        <v>0.96</v>
      </c>
      <c r="E222" s="1">
        <v>0.197948664</v>
      </c>
      <c r="F222" s="1">
        <v>187</v>
      </c>
      <c r="G222" s="1">
        <v>2096.458333</v>
      </c>
      <c r="H222" s="1">
        <v>714.14224569999999</v>
      </c>
      <c r="I222" s="1">
        <v>0.89583333300000001</v>
      </c>
      <c r="J222" s="1">
        <v>0.30870927799999998</v>
      </c>
      <c r="K222" s="1">
        <f>(B222+Table810[[#This Row],[grt]])/2</f>
        <v>2089.7189625000001</v>
      </c>
      <c r="L222" s="1">
        <f>(Table810[[#This Row],[prtsd]]+Table810[[#This Row],[grtsd]])/2</f>
        <v>716.96767180000006</v>
      </c>
      <c r="M222" s="1">
        <f>(Table810[[#This Row],[pacc]]+Table810[[#This Row],[gacc]])/2</f>
        <v>0.92791666650000004</v>
      </c>
      <c r="N222" s="1">
        <f>(Table810[[#This Row],[paccsd]]+Table810[[#This Row],[gaccsd]])/2</f>
        <v>0.25332897099999996</v>
      </c>
      <c r="O222">
        <f>Table810[[#This Row],[mrt]]-(Table810[[#This Row],[macc]]*1000)</f>
        <v>1161.8022960000001</v>
      </c>
      <c r="P222" s="9">
        <f>(Table810[[#This Row],[prt]]-Table810[[#This Row],[grt]])</f>
        <v>-13.4787409999999</v>
      </c>
      <c r="Q222" s="8">
        <f>Table810[[#This Row],[pacc]]-Table810[[#This Row],[gacc]]</f>
        <v>6.4166666999999955E-2</v>
      </c>
      <c r="R222" s="8">
        <f>Table810[[#This Row],[rt_pairing_score]]-Table810[[#This Row],[acc_pairing_score]]</f>
        <v>-13.5429076669999</v>
      </c>
    </row>
    <row r="223" spans="1:18" x14ac:dyDescent="0.25">
      <c r="A223" t="s">
        <v>330</v>
      </c>
      <c r="B223" s="1">
        <v>2068.1914889999998</v>
      </c>
      <c r="C223" s="1">
        <v>682.94600460000004</v>
      </c>
      <c r="D223" s="1">
        <v>0.97916666699999999</v>
      </c>
      <c r="E223" s="1">
        <v>0.144337567</v>
      </c>
      <c r="F223" s="1">
        <v>197</v>
      </c>
      <c r="G223" s="1">
        <v>2054.531915</v>
      </c>
      <c r="H223" s="1">
        <v>680.11405219999995</v>
      </c>
      <c r="I223" s="1">
        <v>0.82978723399999998</v>
      </c>
      <c r="J223" s="1">
        <v>0.37988264399999999</v>
      </c>
      <c r="K223" s="1">
        <f>(B223+Table810[[#This Row],[grt]])/2</f>
        <v>2061.3617020000002</v>
      </c>
      <c r="L223" s="1">
        <f>(Table810[[#This Row],[prtsd]]+Table810[[#This Row],[grtsd]])/2</f>
        <v>681.53002839999999</v>
      </c>
      <c r="M223" s="1">
        <f>(Table810[[#This Row],[pacc]]+Table810[[#This Row],[gacc]])/2</f>
        <v>0.90447695049999999</v>
      </c>
      <c r="N223" s="1">
        <f>(Table810[[#This Row],[paccsd]]+Table810[[#This Row],[gaccsd]])/2</f>
        <v>0.26211010550000002</v>
      </c>
      <c r="O223">
        <f>Table810[[#This Row],[mrt]]-(Table810[[#This Row],[macc]]*1000)</f>
        <v>1156.8847515000002</v>
      </c>
      <c r="P223" s="9">
        <f>(Table810[[#This Row],[prt]]-Table810[[#This Row],[grt]])</f>
        <v>13.659573999999793</v>
      </c>
      <c r="Q223" s="8">
        <f>Table810[[#This Row],[pacc]]-Table810[[#This Row],[gacc]]</f>
        <v>0.14937943300000001</v>
      </c>
      <c r="R223" s="8">
        <f>Table810[[#This Row],[rt_pairing_score]]-Table810[[#This Row],[acc_pairing_score]]</f>
        <v>13.510194566999793</v>
      </c>
    </row>
    <row r="224" spans="1:18" x14ac:dyDescent="0.25">
      <c r="A224" t="s">
        <v>132</v>
      </c>
      <c r="B224" s="1">
        <v>2060.645833</v>
      </c>
      <c r="C224" s="1">
        <v>706.60056699999996</v>
      </c>
      <c r="D224" s="1">
        <v>0.85714285700000004</v>
      </c>
      <c r="E224" s="1">
        <v>0.35355339099999999</v>
      </c>
      <c r="F224" s="1">
        <v>16</v>
      </c>
      <c r="G224" s="1">
        <v>2064.479167</v>
      </c>
      <c r="H224" s="1">
        <v>698.09963900000002</v>
      </c>
      <c r="I224" s="1">
        <v>0.95833333300000001</v>
      </c>
      <c r="J224" s="1">
        <v>0.20194093699999999</v>
      </c>
      <c r="K224" s="1">
        <f>(B224+Table810[[#This Row],[grt]])/2</f>
        <v>2062.5625</v>
      </c>
      <c r="L224" s="1">
        <f>(Table810[[#This Row],[prtsd]]+Table810[[#This Row],[grtsd]])/2</f>
        <v>702.35010299999999</v>
      </c>
      <c r="M224" s="1">
        <f>(Table810[[#This Row],[pacc]]+Table810[[#This Row],[gacc]])/2</f>
        <v>0.90773809500000002</v>
      </c>
      <c r="N224" s="1">
        <f>(Table810[[#This Row],[paccsd]]+Table810[[#This Row],[gaccsd]])/2</f>
        <v>0.27774716399999999</v>
      </c>
      <c r="O224">
        <f>Table810[[#This Row],[mrt]]-(Table810[[#This Row],[macc]]*1000)</f>
        <v>1154.8244049999998</v>
      </c>
      <c r="P224" s="9">
        <f>(Table810[[#This Row],[prt]]-Table810[[#This Row],[grt]])</f>
        <v>-3.8333339999999225</v>
      </c>
      <c r="Q224" s="8">
        <f>Table810[[#This Row],[pacc]]-Table810[[#This Row],[gacc]]</f>
        <v>-0.10119047599999997</v>
      </c>
      <c r="R224" s="8">
        <f>Table810[[#This Row],[rt_pairing_score]]-Table810[[#This Row],[acc_pairing_score]]</f>
        <v>-3.7321435239999223</v>
      </c>
    </row>
    <row r="225" spans="1:18" x14ac:dyDescent="0.25">
      <c r="A225" t="s">
        <v>165</v>
      </c>
      <c r="B225" s="1">
        <v>2071.8260869999999</v>
      </c>
      <c r="C225" s="1">
        <v>714.43283810000003</v>
      </c>
      <c r="D225" s="1">
        <v>0.89583333300000001</v>
      </c>
      <c r="E225" s="1">
        <v>0.30870927799999998</v>
      </c>
      <c r="F225" s="1">
        <v>365</v>
      </c>
      <c r="G225" s="1">
        <v>2111.7446810000001</v>
      </c>
      <c r="H225" s="1">
        <v>691.55953150000005</v>
      </c>
      <c r="I225" s="1">
        <v>0.97872340400000002</v>
      </c>
      <c r="J225" s="1">
        <v>0.145864991</v>
      </c>
      <c r="K225" s="1">
        <f>(B225+Table810[[#This Row],[grt]])/2</f>
        <v>2091.7853839999998</v>
      </c>
      <c r="L225" s="1">
        <f>(Table810[[#This Row],[prtsd]]+Table810[[#This Row],[grtsd]])/2</f>
        <v>702.99618480000004</v>
      </c>
      <c r="M225" s="1">
        <f>(Table810[[#This Row],[pacc]]+Table810[[#This Row],[gacc]])/2</f>
        <v>0.93727836850000001</v>
      </c>
      <c r="N225" s="1">
        <f>(Table810[[#This Row],[paccsd]]+Table810[[#This Row],[gaccsd]])/2</f>
        <v>0.22728713449999999</v>
      </c>
      <c r="O225">
        <f>Table810[[#This Row],[mrt]]-(Table810[[#This Row],[macc]]*1000)</f>
        <v>1154.5070154999999</v>
      </c>
      <c r="P225" s="9">
        <f>(Table810[[#This Row],[prt]]-Table810[[#This Row],[grt]])</f>
        <v>-39.918594000000212</v>
      </c>
      <c r="Q225" s="8">
        <f>Table810[[#This Row],[pacc]]-Table810[[#This Row],[gacc]]</f>
        <v>-8.289007100000001E-2</v>
      </c>
      <c r="R225" s="8">
        <f>Table810[[#This Row],[rt_pairing_score]]-Table810[[#This Row],[acc_pairing_score]]</f>
        <v>-39.835703929000211</v>
      </c>
    </row>
    <row r="226" spans="1:18" x14ac:dyDescent="0.25">
      <c r="A226" t="s">
        <v>201</v>
      </c>
      <c r="B226" s="1">
        <v>2081.9787230000002</v>
      </c>
      <c r="C226" s="1">
        <v>729.19722060000004</v>
      </c>
      <c r="D226" s="1">
        <v>0.918367347</v>
      </c>
      <c r="E226" s="1">
        <v>0.27664166800000001</v>
      </c>
      <c r="F226" s="1">
        <v>398</v>
      </c>
      <c r="G226" s="1">
        <v>2081.1875</v>
      </c>
      <c r="H226" s="1">
        <v>729.80209079999997</v>
      </c>
      <c r="I226" s="1">
        <v>0.9375</v>
      </c>
      <c r="J226" s="1">
        <v>0.24462302699999999</v>
      </c>
      <c r="K226" s="1">
        <f>(B226+Table810[[#This Row],[grt]])/2</f>
        <v>2081.5831115000001</v>
      </c>
      <c r="L226" s="1">
        <f>(Table810[[#This Row],[prtsd]]+Table810[[#This Row],[grtsd]])/2</f>
        <v>729.49965569999995</v>
      </c>
      <c r="M226" s="1">
        <f>(Table810[[#This Row],[pacc]]+Table810[[#This Row],[gacc]])/2</f>
        <v>0.9279336735</v>
      </c>
      <c r="N226" s="1">
        <f>(Table810[[#This Row],[paccsd]]+Table810[[#This Row],[gaccsd]])/2</f>
        <v>0.26063234749999997</v>
      </c>
      <c r="O226">
        <f>Table810[[#This Row],[mrt]]-(Table810[[#This Row],[macc]]*1000)</f>
        <v>1153.6494379999999</v>
      </c>
      <c r="P226" s="9">
        <f>(Table810[[#This Row],[prt]]-Table810[[#This Row],[grt]])</f>
        <v>0.79122300000017276</v>
      </c>
      <c r="Q226" s="8">
        <f>Table810[[#This Row],[pacc]]-Table810[[#This Row],[gacc]]</f>
        <v>-1.9132652999999999E-2</v>
      </c>
      <c r="R226" s="8">
        <f>Table810[[#This Row],[rt_pairing_score]]-Table810[[#This Row],[acc_pairing_score]]</f>
        <v>0.81035565300017276</v>
      </c>
    </row>
    <row r="227" spans="1:18" x14ac:dyDescent="0.25">
      <c r="A227" t="s">
        <v>88</v>
      </c>
      <c r="B227" s="1">
        <v>1957.854167</v>
      </c>
      <c r="C227" s="1">
        <v>706.61949159999995</v>
      </c>
      <c r="D227" s="1">
        <v>0.78</v>
      </c>
      <c r="E227" s="1">
        <v>0.41845195800000001</v>
      </c>
      <c r="F227" s="1">
        <v>55</v>
      </c>
      <c r="G227" s="1">
        <v>2019.416667</v>
      </c>
      <c r="H227" s="1">
        <v>698.38506219999999</v>
      </c>
      <c r="I227" s="1">
        <v>0.89583333300000001</v>
      </c>
      <c r="J227" s="1">
        <v>0.30870927799999998</v>
      </c>
      <c r="K227" s="1">
        <f>(B227+Table810[[#This Row],[grt]])/2</f>
        <v>1988.635417</v>
      </c>
      <c r="L227" s="1">
        <f>(Table810[[#This Row],[prtsd]]+Table810[[#This Row],[grtsd]])/2</f>
        <v>702.50227689999997</v>
      </c>
      <c r="M227" s="1">
        <f>(Table810[[#This Row],[pacc]]+Table810[[#This Row],[gacc]])/2</f>
        <v>0.83791666649999996</v>
      </c>
      <c r="N227" s="1">
        <f>(Table810[[#This Row],[paccsd]]+Table810[[#This Row],[gaccsd]])/2</f>
        <v>0.36358061799999997</v>
      </c>
      <c r="O227">
        <f>Table810[[#This Row],[mrt]]-(Table810[[#This Row],[macc]]*1000)</f>
        <v>1150.7187504999999</v>
      </c>
      <c r="P227" s="9">
        <f>(Table810[[#This Row],[prt]]-Table810[[#This Row],[grt]])</f>
        <v>-61.5625</v>
      </c>
      <c r="Q227" s="8">
        <f>Table810[[#This Row],[pacc]]-Table810[[#This Row],[gacc]]</f>
        <v>-0.11583333299999998</v>
      </c>
      <c r="R227" s="8">
        <f>Table810[[#This Row],[rt_pairing_score]]-Table810[[#This Row],[acc_pairing_score]]</f>
        <v>-61.446666667000002</v>
      </c>
    </row>
    <row r="228" spans="1:18" x14ac:dyDescent="0.25">
      <c r="A228" t="s">
        <v>248</v>
      </c>
      <c r="B228" s="1">
        <v>2127.8571430000002</v>
      </c>
      <c r="C228" s="1">
        <v>615.77430930000003</v>
      </c>
      <c r="D228" s="1">
        <v>0.93877551000000004</v>
      </c>
      <c r="E228" s="1">
        <v>0.24222607099999999</v>
      </c>
      <c r="F228" s="1">
        <v>535</v>
      </c>
      <c r="G228" s="1">
        <v>2084.0217389999998</v>
      </c>
      <c r="H228" s="1">
        <v>610.76110949999998</v>
      </c>
      <c r="I228" s="1">
        <v>0.97872340400000002</v>
      </c>
      <c r="J228" s="1">
        <v>0.145864991</v>
      </c>
      <c r="K228" s="1">
        <f>(B228+Table810[[#This Row],[grt]])/2</f>
        <v>2105.939441</v>
      </c>
      <c r="L228" s="1">
        <f>(Table810[[#This Row],[prtsd]]+Table810[[#This Row],[grtsd]])/2</f>
        <v>613.26770940000006</v>
      </c>
      <c r="M228" s="1">
        <f>(Table810[[#This Row],[pacc]]+Table810[[#This Row],[gacc]])/2</f>
        <v>0.95874945700000003</v>
      </c>
      <c r="N228" s="1">
        <f>(Table810[[#This Row],[paccsd]]+Table810[[#This Row],[gaccsd]])/2</f>
        <v>0.19404553099999999</v>
      </c>
      <c r="O228">
        <f>Table810[[#This Row],[mrt]]-(Table810[[#This Row],[macc]]*1000)</f>
        <v>1147.1899840000001</v>
      </c>
      <c r="P228" s="9">
        <f>(Table810[[#This Row],[prt]]-Table810[[#This Row],[grt]])</f>
        <v>43.835404000000381</v>
      </c>
      <c r="Q228" s="8">
        <f>Table810[[#This Row],[pacc]]-Table810[[#This Row],[gacc]]</f>
        <v>-3.9947893999999984E-2</v>
      </c>
      <c r="R228" s="8">
        <f>Table810[[#This Row],[rt_pairing_score]]-Table810[[#This Row],[acc_pairing_score]]</f>
        <v>43.875351894000381</v>
      </c>
    </row>
    <row r="229" spans="1:18" x14ac:dyDescent="0.25">
      <c r="A229" t="s">
        <v>177</v>
      </c>
      <c r="B229" s="1">
        <v>2059.469388</v>
      </c>
      <c r="C229" s="1">
        <v>622.92596209999999</v>
      </c>
      <c r="D229" s="1">
        <v>0.89795918399999997</v>
      </c>
      <c r="E229" s="1">
        <v>0.30583887100000001</v>
      </c>
      <c r="F229" s="1">
        <v>403</v>
      </c>
      <c r="G229" s="1">
        <v>2080.6382979999998</v>
      </c>
      <c r="H229" s="1">
        <v>623.77491850000001</v>
      </c>
      <c r="I229" s="1">
        <v>0.95744680900000001</v>
      </c>
      <c r="J229" s="1">
        <v>0.204029709</v>
      </c>
      <c r="K229" s="1">
        <f>(B229+Table810[[#This Row],[grt]])/2</f>
        <v>2070.0538429999997</v>
      </c>
      <c r="L229" s="1">
        <f>(Table810[[#This Row],[prtsd]]+Table810[[#This Row],[grtsd]])/2</f>
        <v>623.35044029999995</v>
      </c>
      <c r="M229" s="1">
        <f>(Table810[[#This Row],[pacc]]+Table810[[#This Row],[gacc]])/2</f>
        <v>0.92770299649999999</v>
      </c>
      <c r="N229" s="1">
        <f>(Table810[[#This Row],[paccsd]]+Table810[[#This Row],[gaccsd]])/2</f>
        <v>0.25493429000000001</v>
      </c>
      <c r="O229">
        <f>Table810[[#This Row],[mrt]]-(Table810[[#This Row],[macc]]*1000)</f>
        <v>1142.3508464999995</v>
      </c>
      <c r="P229" s="9">
        <f>(Table810[[#This Row],[prt]]-Table810[[#This Row],[grt]])</f>
        <v>-21.168909999999869</v>
      </c>
      <c r="Q229" s="8">
        <f>Table810[[#This Row],[pacc]]-Table810[[#This Row],[gacc]]</f>
        <v>-5.9487625000000044E-2</v>
      </c>
      <c r="R229" s="8">
        <f>Table810[[#This Row],[rt_pairing_score]]-Table810[[#This Row],[acc_pairing_score]]</f>
        <v>-21.10942237499987</v>
      </c>
    </row>
    <row r="230" spans="1:18" x14ac:dyDescent="0.25">
      <c r="A230" t="s">
        <v>164</v>
      </c>
      <c r="B230" s="1">
        <v>1994.84</v>
      </c>
      <c r="C230" s="1">
        <v>723.74159220000001</v>
      </c>
      <c r="D230" s="1">
        <v>0.88</v>
      </c>
      <c r="E230" s="1">
        <v>0.32826072299999998</v>
      </c>
      <c r="F230" s="1">
        <v>201</v>
      </c>
      <c r="G230" s="1">
        <v>2028.7555560000001</v>
      </c>
      <c r="H230" s="1">
        <v>724.37911210000004</v>
      </c>
      <c r="I230" s="1">
        <v>0.869565217</v>
      </c>
      <c r="J230" s="1">
        <v>0.34050261199999998</v>
      </c>
      <c r="K230" s="1">
        <f>(B230+Table810[[#This Row],[grt]])/2</f>
        <v>2011.7977780000001</v>
      </c>
      <c r="L230" s="1">
        <f>(Table810[[#This Row],[prtsd]]+Table810[[#This Row],[grtsd]])/2</f>
        <v>724.06035214999997</v>
      </c>
      <c r="M230" s="1">
        <f>(Table810[[#This Row],[pacc]]+Table810[[#This Row],[gacc]])/2</f>
        <v>0.8747826085</v>
      </c>
      <c r="N230" s="1">
        <f>(Table810[[#This Row],[paccsd]]+Table810[[#This Row],[gaccsd]])/2</f>
        <v>0.33438166749999998</v>
      </c>
      <c r="O230">
        <f>Table810[[#This Row],[mrt]]-(Table810[[#This Row],[macc]]*1000)</f>
        <v>1137.0151695</v>
      </c>
      <c r="P230" s="9">
        <f>(Table810[[#This Row],[prt]]-Table810[[#This Row],[grt]])</f>
        <v>-33.915556000000151</v>
      </c>
      <c r="Q230" s="8">
        <f>Table810[[#This Row],[pacc]]-Table810[[#This Row],[gacc]]</f>
        <v>1.0434783000000003E-2</v>
      </c>
      <c r="R230" s="8">
        <f>Table810[[#This Row],[rt_pairing_score]]-Table810[[#This Row],[acc_pairing_score]]</f>
        <v>-33.925990783000152</v>
      </c>
    </row>
    <row r="231" spans="1:18" x14ac:dyDescent="0.25">
      <c r="A231" t="s">
        <v>189</v>
      </c>
      <c r="B231" s="1">
        <v>2046.729167</v>
      </c>
      <c r="C231" s="1">
        <v>663.55886840000005</v>
      </c>
      <c r="D231" s="1">
        <v>0.9</v>
      </c>
      <c r="E231" s="1">
        <v>0.30304576300000002</v>
      </c>
      <c r="F231" s="1">
        <v>415</v>
      </c>
      <c r="G231" s="1">
        <v>2056.041667</v>
      </c>
      <c r="H231" s="1">
        <v>670.09897520000004</v>
      </c>
      <c r="I231" s="1">
        <v>0.9375</v>
      </c>
      <c r="J231" s="1">
        <v>0.24462302699999999</v>
      </c>
      <c r="K231" s="1">
        <f>(B231+Table810[[#This Row],[grt]])/2</f>
        <v>2051.385417</v>
      </c>
      <c r="L231" s="1">
        <f>(Table810[[#This Row],[prtsd]]+Table810[[#This Row],[grtsd]])/2</f>
        <v>666.82892179999999</v>
      </c>
      <c r="M231" s="1">
        <f>(Table810[[#This Row],[pacc]]+Table810[[#This Row],[gacc]])/2</f>
        <v>0.91874999999999996</v>
      </c>
      <c r="N231" s="1">
        <f>(Table810[[#This Row],[paccsd]]+Table810[[#This Row],[gaccsd]])/2</f>
        <v>0.27383439500000001</v>
      </c>
      <c r="O231">
        <f>Table810[[#This Row],[mrt]]-(Table810[[#This Row],[macc]]*1000)</f>
        <v>1132.635417</v>
      </c>
      <c r="P231" s="9">
        <f>(Table810[[#This Row],[prt]]-Table810[[#This Row],[grt]])</f>
        <v>-9.3125</v>
      </c>
      <c r="Q231" s="8">
        <f>Table810[[#This Row],[pacc]]-Table810[[#This Row],[gacc]]</f>
        <v>-3.7499999999999978E-2</v>
      </c>
      <c r="R231" s="8">
        <f>Table810[[#This Row],[rt_pairing_score]]-Table810[[#This Row],[acc_pairing_score]]</f>
        <v>-9.2750000000000004</v>
      </c>
    </row>
    <row r="232" spans="1:18" x14ac:dyDescent="0.25">
      <c r="A232" t="s">
        <v>131</v>
      </c>
      <c r="B232" s="1">
        <v>2042.7755099999999</v>
      </c>
      <c r="C232" s="1">
        <v>621.37707499999999</v>
      </c>
      <c r="D232" s="1">
        <v>0.85714285700000004</v>
      </c>
      <c r="E232" s="1">
        <v>0.35355339099999999</v>
      </c>
      <c r="F232" s="1">
        <v>73</v>
      </c>
      <c r="G232" s="1">
        <v>2037.791667</v>
      </c>
      <c r="H232" s="1">
        <v>624.98728359999996</v>
      </c>
      <c r="I232" s="1">
        <v>0.97916666699999999</v>
      </c>
      <c r="J232" s="1">
        <v>0.144337567</v>
      </c>
      <c r="K232" s="1">
        <f>(B232+Table810[[#This Row],[grt]])/2</f>
        <v>2040.2835885</v>
      </c>
      <c r="L232" s="1">
        <f>(Table810[[#This Row],[prtsd]]+Table810[[#This Row],[grtsd]])/2</f>
        <v>623.18217929999992</v>
      </c>
      <c r="M232" s="1">
        <f>(Table810[[#This Row],[pacc]]+Table810[[#This Row],[gacc]])/2</f>
        <v>0.91815476200000001</v>
      </c>
      <c r="N232" s="1">
        <f>(Table810[[#This Row],[paccsd]]+Table810[[#This Row],[gaccsd]])/2</f>
        <v>0.248945479</v>
      </c>
      <c r="O232">
        <f>Table810[[#This Row],[mrt]]-(Table810[[#This Row],[macc]]*1000)</f>
        <v>1122.1288264999998</v>
      </c>
      <c r="P232" s="9">
        <f>(Table810[[#This Row],[prt]]-Table810[[#This Row],[grt]])</f>
        <v>4.9838429999999789</v>
      </c>
      <c r="Q232" s="8">
        <f>Table810[[#This Row],[pacc]]-Table810[[#This Row],[gacc]]</f>
        <v>-0.12202380999999995</v>
      </c>
      <c r="R232" s="8">
        <f>Table810[[#This Row],[rt_pairing_score]]-Table810[[#This Row],[acc_pairing_score]]</f>
        <v>5.1058668099999789</v>
      </c>
    </row>
    <row r="233" spans="1:18" x14ac:dyDescent="0.25">
      <c r="A233" t="s">
        <v>285</v>
      </c>
      <c r="B233" s="1">
        <v>1945.604167</v>
      </c>
      <c r="C233" s="1">
        <v>773.54056790000004</v>
      </c>
      <c r="D233" s="1">
        <v>0.95918367299999996</v>
      </c>
      <c r="E233" s="1">
        <v>0.19991494800000001</v>
      </c>
      <c r="F233" s="1">
        <v>410</v>
      </c>
      <c r="G233" s="1">
        <v>2172.5106380000002</v>
      </c>
      <c r="H233" s="1">
        <v>683.94647239999995</v>
      </c>
      <c r="I233" s="1">
        <v>0.91489361700000005</v>
      </c>
      <c r="J233" s="1">
        <v>0.28205667299999998</v>
      </c>
      <c r="K233" s="1">
        <f>(B233+Table810[[#This Row],[grt]])/2</f>
        <v>2059.0574025000001</v>
      </c>
      <c r="L233" s="1">
        <f>(Table810[[#This Row],[prtsd]]+Table810[[#This Row],[grtsd]])/2</f>
        <v>728.74352014999999</v>
      </c>
      <c r="M233" s="1">
        <f>(Table810[[#This Row],[pacc]]+Table810[[#This Row],[gacc]])/2</f>
        <v>0.937038645</v>
      </c>
      <c r="N233" s="1">
        <f>(Table810[[#This Row],[paccsd]]+Table810[[#This Row],[gaccsd]])/2</f>
        <v>0.24098581050000001</v>
      </c>
      <c r="O233">
        <f>Table810[[#This Row],[mrt]]-(Table810[[#This Row],[macc]]*1000)</f>
        <v>1122.0187575</v>
      </c>
      <c r="P233" s="9">
        <f>(Table810[[#This Row],[prt]]-Table810[[#This Row],[grt]])</f>
        <v>-226.90647100000024</v>
      </c>
      <c r="Q233" s="8">
        <f>Table810[[#This Row],[pacc]]-Table810[[#This Row],[gacc]]</f>
        <v>4.4290055999999911E-2</v>
      </c>
      <c r="R233" s="8">
        <f>Table810[[#This Row],[rt_pairing_score]]-Table810[[#This Row],[acc_pairing_score]]</f>
        <v>-226.95076105600023</v>
      </c>
    </row>
    <row r="234" spans="1:18" x14ac:dyDescent="0.25">
      <c r="A234" t="s">
        <v>293</v>
      </c>
      <c r="B234" s="1">
        <v>1704.5918369999999</v>
      </c>
      <c r="C234" s="1">
        <v>816.94818069999997</v>
      </c>
      <c r="D234" s="1">
        <v>0.95918367299999996</v>
      </c>
      <c r="E234" s="1">
        <v>0.19991494800000001</v>
      </c>
      <c r="F234" s="1">
        <v>548</v>
      </c>
      <c r="G234" s="1">
        <v>2280.395833</v>
      </c>
      <c r="H234" s="1">
        <v>703.70819449999999</v>
      </c>
      <c r="I234" s="1">
        <v>0.79166666699999999</v>
      </c>
      <c r="J234" s="1">
        <v>0.41041407899999999</v>
      </c>
      <c r="K234" s="1">
        <f>(B234+Table810[[#This Row],[grt]])/2</f>
        <v>1992.493835</v>
      </c>
      <c r="L234" s="1">
        <f>(Table810[[#This Row],[prtsd]]+Table810[[#This Row],[grtsd]])/2</f>
        <v>760.32818759999998</v>
      </c>
      <c r="M234" s="1">
        <f>(Table810[[#This Row],[pacc]]+Table810[[#This Row],[gacc]])/2</f>
        <v>0.87542516999999997</v>
      </c>
      <c r="N234" s="1">
        <f>(Table810[[#This Row],[paccsd]]+Table810[[#This Row],[gaccsd]])/2</f>
        <v>0.30516451350000001</v>
      </c>
      <c r="O234">
        <f>Table810[[#This Row],[mrt]]-(Table810[[#This Row],[macc]]*1000)</f>
        <v>1117.068665</v>
      </c>
      <c r="P234" s="9">
        <f>(Table810[[#This Row],[prt]]-Table810[[#This Row],[grt]])</f>
        <v>-575.8039960000001</v>
      </c>
      <c r="Q234" s="8">
        <f>Table810[[#This Row],[pacc]]-Table810[[#This Row],[gacc]]</f>
        <v>0.16751700599999997</v>
      </c>
      <c r="R234" s="8">
        <f>Table810[[#This Row],[rt_pairing_score]]-Table810[[#This Row],[acc_pairing_score]]</f>
        <v>-575.97151300600012</v>
      </c>
    </row>
    <row r="235" spans="1:18" x14ac:dyDescent="0.25">
      <c r="A235" t="s">
        <v>58</v>
      </c>
      <c r="B235" s="1">
        <v>1957.8043479999999</v>
      </c>
      <c r="C235" s="1">
        <v>621.33825530000001</v>
      </c>
      <c r="D235" s="1">
        <v>0.72340425500000005</v>
      </c>
      <c r="E235" s="1">
        <v>0.45215078600000003</v>
      </c>
      <c r="F235" s="1">
        <v>54</v>
      </c>
      <c r="G235" s="1">
        <v>1955.1063830000001</v>
      </c>
      <c r="H235" s="1">
        <v>616.0897109</v>
      </c>
      <c r="I235" s="1">
        <v>0.95744680900000001</v>
      </c>
      <c r="J235" s="1">
        <v>0.204029709</v>
      </c>
      <c r="K235" s="1">
        <f>(B235+Table810[[#This Row],[grt]])/2</f>
        <v>1956.4553655</v>
      </c>
      <c r="L235" s="1">
        <f>(Table810[[#This Row],[prtsd]]+Table810[[#This Row],[grtsd]])/2</f>
        <v>618.71398309999995</v>
      </c>
      <c r="M235" s="1">
        <f>(Table810[[#This Row],[pacc]]+Table810[[#This Row],[gacc]])/2</f>
        <v>0.84042553200000003</v>
      </c>
      <c r="N235" s="1">
        <f>(Table810[[#This Row],[paccsd]]+Table810[[#This Row],[gaccsd]])/2</f>
        <v>0.32809024750000004</v>
      </c>
      <c r="O235">
        <f>Table810[[#This Row],[mrt]]-(Table810[[#This Row],[macc]]*1000)</f>
        <v>1116.0298335</v>
      </c>
      <c r="P235" s="9">
        <f>(Table810[[#This Row],[prt]]-Table810[[#This Row],[grt]])</f>
        <v>2.6979649999998401</v>
      </c>
      <c r="Q235" s="8">
        <f>Table810[[#This Row],[pacc]]-Table810[[#This Row],[gacc]]</f>
        <v>-0.23404255399999996</v>
      </c>
      <c r="R235" s="8">
        <f>Table810[[#This Row],[rt_pairing_score]]-Table810[[#This Row],[acc_pairing_score]]</f>
        <v>2.9320075539998403</v>
      </c>
    </row>
    <row r="236" spans="1:18" x14ac:dyDescent="0.25">
      <c r="A236" t="s">
        <v>190</v>
      </c>
      <c r="B236" s="1">
        <v>2030.2448979999999</v>
      </c>
      <c r="C236" s="1">
        <v>675.96167700000001</v>
      </c>
      <c r="D236" s="1">
        <v>0.9</v>
      </c>
      <c r="E236" s="1">
        <v>0.30304576300000002</v>
      </c>
      <c r="F236" s="1">
        <v>419</v>
      </c>
      <c r="G236" s="1">
        <v>2015.875</v>
      </c>
      <c r="H236" s="1">
        <v>673.76359969999999</v>
      </c>
      <c r="I236" s="1">
        <v>0.91666666699999999</v>
      </c>
      <c r="J236" s="1">
        <v>0.27931019400000001</v>
      </c>
      <c r="K236" s="1">
        <f>(B236+Table810[[#This Row],[grt]])/2</f>
        <v>2023.059949</v>
      </c>
      <c r="L236" s="1">
        <f>(Table810[[#This Row],[prtsd]]+Table810[[#This Row],[grtsd]])/2</f>
        <v>674.86263835</v>
      </c>
      <c r="M236" s="1">
        <f>(Table810[[#This Row],[pacc]]+Table810[[#This Row],[gacc]])/2</f>
        <v>0.90833333350000001</v>
      </c>
      <c r="N236" s="1">
        <f>(Table810[[#This Row],[paccsd]]+Table810[[#This Row],[gaccsd]])/2</f>
        <v>0.29117797850000005</v>
      </c>
      <c r="O236">
        <f>Table810[[#This Row],[mrt]]-(Table810[[#This Row],[macc]]*1000)</f>
        <v>1114.7266155</v>
      </c>
      <c r="P236" s="9">
        <f>(Table810[[#This Row],[prt]]-Table810[[#This Row],[grt]])</f>
        <v>14.369897999999921</v>
      </c>
      <c r="Q236" s="8">
        <f>Table810[[#This Row],[pacc]]-Table810[[#This Row],[gacc]]</f>
        <v>-1.6666666999999968E-2</v>
      </c>
      <c r="R236" s="8">
        <f>Table810[[#This Row],[rt_pairing_score]]-Table810[[#This Row],[acc_pairing_score]]</f>
        <v>14.38656466699992</v>
      </c>
    </row>
    <row r="237" spans="1:18" x14ac:dyDescent="0.25">
      <c r="A237" t="s">
        <v>209</v>
      </c>
      <c r="B237" s="1">
        <v>1799.8297869999999</v>
      </c>
      <c r="C237" s="1">
        <v>776.39177470000004</v>
      </c>
      <c r="D237" s="1">
        <v>0.918367347</v>
      </c>
      <c r="E237" s="1">
        <v>0.27664166800000001</v>
      </c>
      <c r="F237" s="1">
        <v>451</v>
      </c>
      <c r="G237" s="1">
        <v>2263.4347830000002</v>
      </c>
      <c r="H237" s="1">
        <v>701.03614270000003</v>
      </c>
      <c r="I237" s="1">
        <v>0.91666666699999999</v>
      </c>
      <c r="J237" s="1">
        <v>0.27931019400000001</v>
      </c>
      <c r="K237" s="1">
        <f>(B237+Table810[[#This Row],[grt]])/2</f>
        <v>2031.6322850000001</v>
      </c>
      <c r="L237" s="1">
        <f>(Table810[[#This Row],[prtsd]]+Table810[[#This Row],[grtsd]])/2</f>
        <v>738.71395870000003</v>
      </c>
      <c r="M237" s="1">
        <f>(Table810[[#This Row],[pacc]]+Table810[[#This Row],[gacc]])/2</f>
        <v>0.91751700700000005</v>
      </c>
      <c r="N237" s="1">
        <f>(Table810[[#This Row],[paccsd]]+Table810[[#This Row],[gaccsd]])/2</f>
        <v>0.27797593100000001</v>
      </c>
      <c r="O237">
        <f>Table810[[#This Row],[mrt]]-(Table810[[#This Row],[macc]]*1000)</f>
        <v>1114.1152780000002</v>
      </c>
      <c r="P237" s="9">
        <f>(Table810[[#This Row],[prt]]-Table810[[#This Row],[grt]])</f>
        <v>-463.60499600000026</v>
      </c>
      <c r="Q237" s="8">
        <f>Table810[[#This Row],[pacc]]-Table810[[#This Row],[gacc]]</f>
        <v>1.70068000000001E-3</v>
      </c>
      <c r="R237" s="8">
        <f>Table810[[#This Row],[rt_pairing_score]]-Table810[[#This Row],[acc_pairing_score]]</f>
        <v>-463.60669668000025</v>
      </c>
    </row>
    <row r="238" spans="1:18" x14ac:dyDescent="0.25">
      <c r="A238" t="s">
        <v>231</v>
      </c>
      <c r="B238" s="1">
        <v>2053.0666670000001</v>
      </c>
      <c r="C238" s="1">
        <v>716.93994299999997</v>
      </c>
      <c r="D238" s="1">
        <v>0.93617021300000003</v>
      </c>
      <c r="E238" s="1">
        <v>0.24709224799999999</v>
      </c>
      <c r="F238" s="1">
        <v>414</v>
      </c>
      <c r="G238" s="1">
        <v>2027.020833</v>
      </c>
      <c r="H238" s="1">
        <v>708.89639999999997</v>
      </c>
      <c r="I238" s="1">
        <v>0.91666666699999999</v>
      </c>
      <c r="J238" s="1">
        <v>0.27931019400000001</v>
      </c>
      <c r="K238" s="1">
        <f>(B238+Table810[[#This Row],[grt]])/2</f>
        <v>2040.04375</v>
      </c>
      <c r="L238" s="1">
        <f>(Table810[[#This Row],[prtsd]]+Table810[[#This Row],[grtsd]])/2</f>
        <v>712.91817149999997</v>
      </c>
      <c r="M238" s="1">
        <f>(Table810[[#This Row],[pacc]]+Table810[[#This Row],[gacc]])/2</f>
        <v>0.92641843999999995</v>
      </c>
      <c r="N238" s="1">
        <f>(Table810[[#This Row],[paccsd]]+Table810[[#This Row],[gaccsd]])/2</f>
        <v>0.26320122099999999</v>
      </c>
      <c r="O238">
        <f>Table810[[#This Row],[mrt]]-(Table810[[#This Row],[macc]]*1000)</f>
        <v>1113.6253100000001</v>
      </c>
      <c r="P238" s="9">
        <f>(Table810[[#This Row],[prt]]-Table810[[#This Row],[grt]])</f>
        <v>26.045834000000013</v>
      </c>
      <c r="Q238" s="8">
        <f>Table810[[#This Row],[pacc]]-Table810[[#This Row],[gacc]]</f>
        <v>1.9503546000000038E-2</v>
      </c>
      <c r="R238" s="8">
        <f>Table810[[#This Row],[rt_pairing_score]]-Table810[[#This Row],[acc_pairing_score]]</f>
        <v>26.026330454000014</v>
      </c>
    </row>
    <row r="239" spans="1:18" x14ac:dyDescent="0.25">
      <c r="A239" t="s">
        <v>160</v>
      </c>
      <c r="B239" s="1">
        <v>1934.48</v>
      </c>
      <c r="C239" s="1">
        <v>729.08038920000001</v>
      </c>
      <c r="D239" s="1">
        <v>0.88</v>
      </c>
      <c r="E239" s="1">
        <v>0.32826072299999998</v>
      </c>
      <c r="F239" s="1">
        <v>9</v>
      </c>
      <c r="G239" s="1">
        <v>2047.7446809999999</v>
      </c>
      <c r="H239" s="1">
        <v>688.46513179999999</v>
      </c>
      <c r="I239" s="1">
        <v>0.875</v>
      </c>
      <c r="J239" s="1">
        <v>0.33421868199999999</v>
      </c>
      <c r="K239" s="1">
        <f>(B239+Table810[[#This Row],[grt]])/2</f>
        <v>1991.1123404999998</v>
      </c>
      <c r="L239" s="1">
        <f>(Table810[[#This Row],[prtsd]]+Table810[[#This Row],[grtsd]])/2</f>
        <v>708.7727605</v>
      </c>
      <c r="M239" s="1">
        <f>(Table810[[#This Row],[pacc]]+Table810[[#This Row],[gacc]])/2</f>
        <v>0.87749999999999995</v>
      </c>
      <c r="N239" s="1">
        <f>(Table810[[#This Row],[paccsd]]+Table810[[#This Row],[gaccsd]])/2</f>
        <v>0.33123970250000001</v>
      </c>
      <c r="O239">
        <f>Table810[[#This Row],[mrt]]-(Table810[[#This Row],[macc]]*1000)</f>
        <v>1113.6123404999998</v>
      </c>
      <c r="P239" s="9">
        <f>(Table810[[#This Row],[prt]]-Table810[[#This Row],[grt]])</f>
        <v>-113.26468099999988</v>
      </c>
      <c r="Q239" s="8">
        <f>Table810[[#This Row],[pacc]]-Table810[[#This Row],[gacc]]</f>
        <v>5.0000000000000044E-3</v>
      </c>
      <c r="R239" s="8">
        <f>Table810[[#This Row],[rt_pairing_score]]-Table810[[#This Row],[acc_pairing_score]]</f>
        <v>-113.26968099999988</v>
      </c>
    </row>
    <row r="240" spans="1:18" x14ac:dyDescent="0.25">
      <c r="A240" t="s">
        <v>235</v>
      </c>
      <c r="B240" s="1">
        <v>1865.9375</v>
      </c>
      <c r="C240" s="1">
        <v>771.04130769999995</v>
      </c>
      <c r="D240" s="1">
        <v>0.9375</v>
      </c>
      <c r="E240" s="1">
        <v>0.24462302699999999</v>
      </c>
      <c r="F240" s="1">
        <v>530</v>
      </c>
      <c r="G240" s="1">
        <v>2234.916667</v>
      </c>
      <c r="H240" s="1">
        <v>687.5764355</v>
      </c>
      <c r="I240" s="1">
        <v>0.97916666699999999</v>
      </c>
      <c r="J240" s="1">
        <v>0.144337567</v>
      </c>
      <c r="K240" s="1">
        <f>(B240+Table810[[#This Row],[grt]])/2</f>
        <v>2050.4270834999998</v>
      </c>
      <c r="L240" s="1">
        <f>(Table810[[#This Row],[prtsd]]+Table810[[#This Row],[grtsd]])/2</f>
        <v>729.30887159999997</v>
      </c>
      <c r="M240" s="1">
        <f>(Table810[[#This Row],[pacc]]+Table810[[#This Row],[gacc]])/2</f>
        <v>0.95833333349999994</v>
      </c>
      <c r="N240" s="1">
        <f>(Table810[[#This Row],[paccsd]]+Table810[[#This Row],[gaccsd]])/2</f>
        <v>0.194480297</v>
      </c>
      <c r="O240">
        <f>Table810[[#This Row],[mrt]]-(Table810[[#This Row],[macc]]*1000)</f>
        <v>1092.0937499999998</v>
      </c>
      <c r="P240" s="9">
        <f>(Table810[[#This Row],[prt]]-Table810[[#This Row],[grt]])</f>
        <v>-368.97916699999996</v>
      </c>
      <c r="Q240" s="8">
        <f>Table810[[#This Row],[pacc]]-Table810[[#This Row],[gacc]]</f>
        <v>-4.1666666999999991E-2</v>
      </c>
      <c r="R240" s="8">
        <f>Table810[[#This Row],[rt_pairing_score]]-Table810[[#This Row],[acc_pairing_score]]</f>
        <v>-368.93750033299995</v>
      </c>
    </row>
    <row r="241" spans="1:18" x14ac:dyDescent="0.25">
      <c r="A241" t="s">
        <v>152</v>
      </c>
      <c r="B241" s="1">
        <v>1995.653061</v>
      </c>
      <c r="C241" s="1">
        <v>619.47462789999997</v>
      </c>
      <c r="D241" s="1">
        <v>0.87755101999999996</v>
      </c>
      <c r="E241" s="1">
        <v>0.33120066100000001</v>
      </c>
      <c r="F241" s="1">
        <v>441</v>
      </c>
      <c r="G241" s="1">
        <v>2021.5</v>
      </c>
      <c r="H241" s="1">
        <v>601.44326420000004</v>
      </c>
      <c r="I241" s="1">
        <v>0.95833333300000001</v>
      </c>
      <c r="J241" s="1">
        <v>0.20194093699999999</v>
      </c>
      <c r="K241" s="1">
        <f>(B241+Table810[[#This Row],[grt]])/2</f>
        <v>2008.5765305</v>
      </c>
      <c r="L241" s="1">
        <f>(Table810[[#This Row],[prtsd]]+Table810[[#This Row],[grtsd]])/2</f>
        <v>610.45894605000001</v>
      </c>
      <c r="M241" s="1">
        <f>(Table810[[#This Row],[pacc]]+Table810[[#This Row],[gacc]])/2</f>
        <v>0.91794217649999998</v>
      </c>
      <c r="N241" s="1">
        <f>(Table810[[#This Row],[paccsd]]+Table810[[#This Row],[gaccsd]])/2</f>
        <v>0.26657079900000002</v>
      </c>
      <c r="O241">
        <f>Table810[[#This Row],[mrt]]-(Table810[[#This Row],[macc]]*1000)</f>
        <v>1090.634354</v>
      </c>
      <c r="P241" s="9">
        <f>(Table810[[#This Row],[prt]]-Table810[[#This Row],[grt]])</f>
        <v>-25.84693900000002</v>
      </c>
      <c r="Q241" s="8">
        <f>Table810[[#This Row],[pacc]]-Table810[[#This Row],[gacc]]</f>
        <v>-8.078231300000005E-2</v>
      </c>
      <c r="R241" s="8">
        <f>Table810[[#This Row],[rt_pairing_score]]-Table810[[#This Row],[acc_pairing_score]]</f>
        <v>-25.76615668700002</v>
      </c>
    </row>
    <row r="242" spans="1:18" x14ac:dyDescent="0.25">
      <c r="A242" t="s">
        <v>302</v>
      </c>
      <c r="B242" s="1">
        <v>1972.416667</v>
      </c>
      <c r="C242" s="1">
        <v>723.02667129999998</v>
      </c>
      <c r="D242" s="1">
        <v>0.96</v>
      </c>
      <c r="E242" s="1">
        <v>0.197948664</v>
      </c>
      <c r="F242" s="1">
        <v>117</v>
      </c>
      <c r="G242" s="1">
        <v>2042.822222</v>
      </c>
      <c r="H242" s="1">
        <v>690.00392910000005</v>
      </c>
      <c r="I242" s="1">
        <v>0.875</v>
      </c>
      <c r="J242" s="1">
        <v>0.33421868199999999</v>
      </c>
      <c r="K242" s="1">
        <f>(B242+Table810[[#This Row],[grt]])/2</f>
        <v>2007.6194445000001</v>
      </c>
      <c r="L242" s="1">
        <f>(Table810[[#This Row],[prtsd]]+Table810[[#This Row],[grtsd]])/2</f>
        <v>706.51530019999996</v>
      </c>
      <c r="M242" s="1">
        <f>(Table810[[#This Row],[pacc]]+Table810[[#This Row],[gacc]])/2</f>
        <v>0.91749999999999998</v>
      </c>
      <c r="N242" s="1">
        <f>(Table810[[#This Row],[paccsd]]+Table810[[#This Row],[gaccsd]])/2</f>
        <v>0.26608367300000002</v>
      </c>
      <c r="O242">
        <f>Table810[[#This Row],[mrt]]-(Table810[[#This Row],[macc]]*1000)</f>
        <v>1090.1194445000001</v>
      </c>
      <c r="P242" s="9">
        <f>(Table810[[#This Row],[prt]]-Table810[[#This Row],[grt]])</f>
        <v>-70.405555000000049</v>
      </c>
      <c r="Q242" s="8">
        <f>Table810[[#This Row],[pacc]]-Table810[[#This Row],[gacc]]</f>
        <v>8.4999999999999964E-2</v>
      </c>
      <c r="R242" s="8">
        <f>Table810[[#This Row],[rt_pairing_score]]-Table810[[#This Row],[acc_pairing_score]]</f>
        <v>-70.490555000000043</v>
      </c>
    </row>
    <row r="243" spans="1:18" x14ac:dyDescent="0.25">
      <c r="A243" t="s">
        <v>172</v>
      </c>
      <c r="B243" s="1">
        <v>2017.4081630000001</v>
      </c>
      <c r="C243" s="1">
        <v>616.30136430000005</v>
      </c>
      <c r="D243" s="1">
        <v>0.89795918399999997</v>
      </c>
      <c r="E243" s="1">
        <v>0.30583887100000001</v>
      </c>
      <c r="F243" s="1">
        <v>131</v>
      </c>
      <c r="G243" s="1">
        <v>2027.957447</v>
      </c>
      <c r="H243" s="1">
        <v>616.02618370000005</v>
      </c>
      <c r="I243" s="1">
        <v>0.97916666699999999</v>
      </c>
      <c r="J243" s="1">
        <v>0.144337567</v>
      </c>
      <c r="K243" s="1">
        <f>(B243+Table810[[#This Row],[grt]])/2</f>
        <v>2022.6828049999999</v>
      </c>
      <c r="L243" s="1">
        <f>(Table810[[#This Row],[prtsd]]+Table810[[#This Row],[grtsd]])/2</f>
        <v>616.1637740000001</v>
      </c>
      <c r="M243" s="1">
        <f>(Table810[[#This Row],[pacc]]+Table810[[#This Row],[gacc]])/2</f>
        <v>0.93856292549999998</v>
      </c>
      <c r="N243" s="1">
        <f>(Table810[[#This Row],[paccsd]]+Table810[[#This Row],[gaccsd]])/2</f>
        <v>0.22508821900000001</v>
      </c>
      <c r="O243">
        <f>Table810[[#This Row],[mrt]]-(Table810[[#This Row],[macc]]*1000)</f>
        <v>1084.1198795</v>
      </c>
      <c r="P243" s="9">
        <f>(Table810[[#This Row],[prt]]-Table810[[#This Row],[grt]])</f>
        <v>-10.549283999999943</v>
      </c>
      <c r="Q243" s="8">
        <f>Table810[[#This Row],[pacc]]-Table810[[#This Row],[gacc]]</f>
        <v>-8.1207483000000025E-2</v>
      </c>
      <c r="R243" s="8">
        <f>Table810[[#This Row],[rt_pairing_score]]-Table810[[#This Row],[acc_pairing_score]]</f>
        <v>-10.468076516999943</v>
      </c>
    </row>
    <row r="244" spans="1:18" x14ac:dyDescent="0.25">
      <c r="A244" t="s">
        <v>215</v>
      </c>
      <c r="B244" s="1">
        <v>2007.729167</v>
      </c>
      <c r="C244" s="1">
        <v>586.44546790000004</v>
      </c>
      <c r="D244" s="1">
        <v>0.92</v>
      </c>
      <c r="E244" s="1">
        <v>0.27404751599999999</v>
      </c>
      <c r="F244" s="1">
        <v>72</v>
      </c>
      <c r="G244" s="1">
        <v>2011.0638300000001</v>
      </c>
      <c r="H244" s="1">
        <v>590.90356029999998</v>
      </c>
      <c r="I244" s="1">
        <v>0.93617021300000003</v>
      </c>
      <c r="J244" s="1">
        <v>0.24709224799999999</v>
      </c>
      <c r="K244" s="1">
        <f>(B244+Table810[[#This Row],[grt]])/2</f>
        <v>2009.3964985</v>
      </c>
      <c r="L244" s="1">
        <f>(Table810[[#This Row],[prtsd]]+Table810[[#This Row],[grtsd]])/2</f>
        <v>588.67451410000001</v>
      </c>
      <c r="M244" s="1">
        <f>(Table810[[#This Row],[pacc]]+Table810[[#This Row],[gacc]])/2</f>
        <v>0.92808510649999998</v>
      </c>
      <c r="N244" s="1">
        <f>(Table810[[#This Row],[paccsd]]+Table810[[#This Row],[gaccsd]])/2</f>
        <v>0.26056988199999997</v>
      </c>
      <c r="O244">
        <f>Table810[[#This Row],[mrt]]-(Table810[[#This Row],[macc]]*1000)</f>
        <v>1081.3113920000001</v>
      </c>
      <c r="P244" s="9">
        <f>(Table810[[#This Row],[prt]]-Table810[[#This Row],[grt]])</f>
        <v>-3.3346630000000914</v>
      </c>
      <c r="Q244" s="8">
        <f>Table810[[#This Row],[pacc]]-Table810[[#This Row],[gacc]]</f>
        <v>-1.6170212999999989E-2</v>
      </c>
      <c r="R244" s="8">
        <f>Table810[[#This Row],[rt_pairing_score]]-Table810[[#This Row],[acc_pairing_score]]</f>
        <v>-3.3184927870000913</v>
      </c>
    </row>
    <row r="245" spans="1:18" x14ac:dyDescent="0.25">
      <c r="A245" t="s">
        <v>363</v>
      </c>
      <c r="B245" s="1">
        <v>1825.5510200000001</v>
      </c>
      <c r="C245" s="1">
        <v>844.67400169999996</v>
      </c>
      <c r="D245" s="1">
        <v>0.98</v>
      </c>
      <c r="E245" s="1">
        <v>0.141421356</v>
      </c>
      <c r="F245" s="1">
        <v>363</v>
      </c>
      <c r="G245" s="1">
        <v>2270.369565</v>
      </c>
      <c r="H245" s="1">
        <v>701.56359840000005</v>
      </c>
      <c r="I245" s="1">
        <v>0.95744680900000001</v>
      </c>
      <c r="J245" s="1">
        <v>0.204029709</v>
      </c>
      <c r="K245" s="1">
        <f>(B245+Table810[[#This Row],[grt]])/2</f>
        <v>2047.9602924999999</v>
      </c>
      <c r="L245" s="1">
        <f>(Table810[[#This Row],[prtsd]]+Table810[[#This Row],[grtsd]])/2</f>
        <v>773.11880005</v>
      </c>
      <c r="M245" s="1">
        <f>(Table810[[#This Row],[pacc]]+Table810[[#This Row],[gacc]])/2</f>
        <v>0.96872340449999994</v>
      </c>
      <c r="N245" s="1">
        <f>(Table810[[#This Row],[paccsd]]+Table810[[#This Row],[gaccsd]])/2</f>
        <v>0.1727255325</v>
      </c>
      <c r="O245">
        <f>Table810[[#This Row],[mrt]]-(Table810[[#This Row],[macc]]*1000)</f>
        <v>1079.2368879999999</v>
      </c>
      <c r="P245" s="9">
        <f>(Table810[[#This Row],[prt]]-Table810[[#This Row],[grt]])</f>
        <v>-444.81854499999986</v>
      </c>
      <c r="Q245" s="8">
        <f>Table810[[#This Row],[pacc]]-Table810[[#This Row],[gacc]]</f>
        <v>2.2553190999999972E-2</v>
      </c>
      <c r="R245" s="8">
        <f>Table810[[#This Row],[rt_pairing_score]]-Table810[[#This Row],[acc_pairing_score]]</f>
        <v>-444.84109819099984</v>
      </c>
    </row>
    <row r="246" spans="1:18" x14ac:dyDescent="0.25">
      <c r="A246" t="s">
        <v>188</v>
      </c>
      <c r="B246" s="1">
        <v>1979.3</v>
      </c>
      <c r="C246" s="1">
        <v>581.26888819999999</v>
      </c>
      <c r="D246" s="1">
        <v>0.9</v>
      </c>
      <c r="E246" s="1">
        <v>0.30304576300000002</v>
      </c>
      <c r="F246" s="1">
        <v>136</v>
      </c>
      <c r="G246" s="1">
        <v>1973.7234040000001</v>
      </c>
      <c r="H246" s="1">
        <v>566.9943141</v>
      </c>
      <c r="I246" s="1">
        <v>0.89583333300000001</v>
      </c>
      <c r="J246" s="1">
        <v>0.30870927799999998</v>
      </c>
      <c r="K246" s="1">
        <f>(B246+Table810[[#This Row],[grt]])/2</f>
        <v>1976.511702</v>
      </c>
      <c r="L246" s="1">
        <f>(Table810[[#This Row],[prtsd]]+Table810[[#This Row],[grtsd]])/2</f>
        <v>574.13160115000005</v>
      </c>
      <c r="M246" s="1">
        <f>(Table810[[#This Row],[pacc]]+Table810[[#This Row],[gacc]])/2</f>
        <v>0.89791666650000002</v>
      </c>
      <c r="N246" s="1">
        <f>(Table810[[#This Row],[paccsd]]+Table810[[#This Row],[gaccsd]])/2</f>
        <v>0.3058775205</v>
      </c>
      <c r="O246">
        <f>Table810[[#This Row],[mrt]]-(Table810[[#This Row],[macc]]*1000)</f>
        <v>1078.5950355</v>
      </c>
      <c r="P246" s="9">
        <f>(Table810[[#This Row],[prt]]-Table810[[#This Row],[grt]])</f>
        <v>5.5765959999998813</v>
      </c>
      <c r="Q246" s="8">
        <f>Table810[[#This Row],[pacc]]-Table810[[#This Row],[gacc]]</f>
        <v>4.1666670000000128E-3</v>
      </c>
      <c r="R246" s="8">
        <f>Table810[[#This Row],[rt_pairing_score]]-Table810[[#This Row],[acc_pairing_score]]</f>
        <v>5.5724293329998815</v>
      </c>
    </row>
    <row r="247" spans="1:18" x14ac:dyDescent="0.25">
      <c r="A247" t="s">
        <v>232</v>
      </c>
      <c r="B247" s="1">
        <v>1991.0212770000001</v>
      </c>
      <c r="C247" s="1">
        <v>680.70492520000005</v>
      </c>
      <c r="D247" s="1">
        <v>0.9375</v>
      </c>
      <c r="E247" s="1">
        <v>0.24462302699999999</v>
      </c>
      <c r="F247" s="1">
        <v>65</v>
      </c>
      <c r="G247" s="1">
        <v>2014.9347829999999</v>
      </c>
      <c r="H247" s="1">
        <v>669.33069060000003</v>
      </c>
      <c r="I247" s="1">
        <v>0.91304347799999996</v>
      </c>
      <c r="J247" s="1">
        <v>0.28488492500000001</v>
      </c>
      <c r="K247" s="1">
        <f>(B247+Table810[[#This Row],[grt]])/2</f>
        <v>2002.97803</v>
      </c>
      <c r="L247" s="1">
        <f>(Table810[[#This Row],[prtsd]]+Table810[[#This Row],[grtsd]])/2</f>
        <v>675.01780789999998</v>
      </c>
      <c r="M247" s="1">
        <f>(Table810[[#This Row],[pacc]]+Table810[[#This Row],[gacc]])/2</f>
        <v>0.92527173900000004</v>
      </c>
      <c r="N247" s="1">
        <f>(Table810[[#This Row],[paccsd]]+Table810[[#This Row],[gaccsd]])/2</f>
        <v>0.264753976</v>
      </c>
      <c r="O247">
        <f>Table810[[#This Row],[mrt]]-(Table810[[#This Row],[macc]]*1000)</f>
        <v>1077.706291</v>
      </c>
      <c r="P247" s="9">
        <f>(Table810[[#This Row],[prt]]-Table810[[#This Row],[grt]])</f>
        <v>-23.91350599999987</v>
      </c>
      <c r="Q247" s="8">
        <f>Table810[[#This Row],[pacc]]-Table810[[#This Row],[gacc]]</f>
        <v>2.4456522000000036E-2</v>
      </c>
      <c r="R247" s="8">
        <f>Table810[[#This Row],[rt_pairing_score]]-Table810[[#This Row],[acc_pairing_score]]</f>
        <v>-23.937962521999872</v>
      </c>
    </row>
    <row r="248" spans="1:18" x14ac:dyDescent="0.25">
      <c r="A248" t="s">
        <v>277</v>
      </c>
      <c r="B248" s="1">
        <v>1990.8125</v>
      </c>
      <c r="C248" s="1">
        <v>624.38192949999996</v>
      </c>
      <c r="D248" s="1">
        <v>0.95833333300000001</v>
      </c>
      <c r="E248" s="1">
        <v>0.20194093699999999</v>
      </c>
      <c r="F248" s="1">
        <v>229</v>
      </c>
      <c r="G248" s="1">
        <v>2017.375</v>
      </c>
      <c r="H248" s="1">
        <v>652.13259400000004</v>
      </c>
      <c r="I248" s="1">
        <v>0.89583333300000001</v>
      </c>
      <c r="J248" s="1">
        <v>0.30870927799999998</v>
      </c>
      <c r="K248" s="1">
        <f>(B248+Table810[[#This Row],[grt]])/2</f>
        <v>2004.09375</v>
      </c>
      <c r="L248" s="1">
        <f>(Table810[[#This Row],[prtsd]]+Table810[[#This Row],[grtsd]])/2</f>
        <v>638.25726175</v>
      </c>
      <c r="M248" s="1">
        <f>(Table810[[#This Row],[pacc]]+Table810[[#This Row],[gacc]])/2</f>
        <v>0.92708333300000001</v>
      </c>
      <c r="N248" s="1">
        <f>(Table810[[#This Row],[paccsd]]+Table810[[#This Row],[gaccsd]])/2</f>
        <v>0.25532510749999998</v>
      </c>
      <c r="O248">
        <f>Table810[[#This Row],[mrt]]-(Table810[[#This Row],[macc]]*1000)</f>
        <v>1077.010417</v>
      </c>
      <c r="P248" s="9">
        <f>(Table810[[#This Row],[prt]]-Table810[[#This Row],[grt]])</f>
        <v>-26.5625</v>
      </c>
      <c r="Q248" s="8">
        <f>Table810[[#This Row],[pacc]]-Table810[[#This Row],[gacc]]</f>
        <v>6.25E-2</v>
      </c>
      <c r="R248" s="8">
        <f>Table810[[#This Row],[rt_pairing_score]]-Table810[[#This Row],[acc_pairing_score]]</f>
        <v>-26.625</v>
      </c>
    </row>
    <row r="249" spans="1:18" x14ac:dyDescent="0.25">
      <c r="A249" t="s">
        <v>260</v>
      </c>
      <c r="B249" s="1">
        <v>2026.82</v>
      </c>
      <c r="C249" s="1">
        <v>666.34402130000001</v>
      </c>
      <c r="D249" s="1">
        <v>0.94</v>
      </c>
      <c r="E249" s="1">
        <v>0.23989793700000001</v>
      </c>
      <c r="F249" s="1">
        <v>280</v>
      </c>
      <c r="G249" s="1">
        <v>2023.6808510000001</v>
      </c>
      <c r="H249" s="1">
        <v>663.29962760000001</v>
      </c>
      <c r="I249" s="1">
        <v>0.95833333300000001</v>
      </c>
      <c r="J249" s="1">
        <v>0.20194093699999999</v>
      </c>
      <c r="K249" s="1">
        <f>(B249+Table810[[#This Row],[grt]])/2</f>
        <v>2025.2504254999999</v>
      </c>
      <c r="L249" s="1">
        <f>(Table810[[#This Row],[prtsd]]+Table810[[#This Row],[grtsd]])/2</f>
        <v>664.82182445000001</v>
      </c>
      <c r="M249" s="1">
        <f>(Table810[[#This Row],[pacc]]+Table810[[#This Row],[gacc]])/2</f>
        <v>0.94916666650000003</v>
      </c>
      <c r="N249" s="1">
        <f>(Table810[[#This Row],[paccsd]]+Table810[[#This Row],[gaccsd]])/2</f>
        <v>0.220919437</v>
      </c>
      <c r="O249">
        <f>Table810[[#This Row],[mrt]]-(Table810[[#This Row],[macc]]*1000)</f>
        <v>1076.0837589999999</v>
      </c>
      <c r="P249" s="9">
        <f>(Table810[[#This Row],[prt]]-Table810[[#This Row],[grt]])</f>
        <v>3.1391489999998612</v>
      </c>
      <c r="Q249" s="8">
        <f>Table810[[#This Row],[pacc]]-Table810[[#This Row],[gacc]]</f>
        <v>-1.8333333000000063E-2</v>
      </c>
      <c r="R249" s="8">
        <f>Table810[[#This Row],[rt_pairing_score]]-Table810[[#This Row],[acc_pairing_score]]</f>
        <v>3.1574823329998614</v>
      </c>
    </row>
    <row r="250" spans="1:18" x14ac:dyDescent="0.25">
      <c r="A250" t="s">
        <v>339</v>
      </c>
      <c r="B250" s="1">
        <v>1840.346939</v>
      </c>
      <c r="C250" s="1">
        <v>743.5460799</v>
      </c>
      <c r="D250" s="1">
        <v>0.97959183699999997</v>
      </c>
      <c r="E250" s="1">
        <v>0.14285714299999999</v>
      </c>
      <c r="F250" s="1">
        <v>422</v>
      </c>
      <c r="G250" s="1">
        <v>2207.531915</v>
      </c>
      <c r="H250" s="1">
        <v>691.69850340000005</v>
      </c>
      <c r="I250" s="1">
        <v>0.91666666699999999</v>
      </c>
      <c r="J250" s="1">
        <v>0.27931019400000001</v>
      </c>
      <c r="K250" s="1">
        <f>(B250+Table810[[#This Row],[grt]])/2</f>
        <v>2023.939427</v>
      </c>
      <c r="L250" s="1">
        <f>(Table810[[#This Row],[prtsd]]+Table810[[#This Row],[grtsd]])/2</f>
        <v>717.62229165000008</v>
      </c>
      <c r="M250" s="1">
        <f>(Table810[[#This Row],[pacc]]+Table810[[#This Row],[gacc]])/2</f>
        <v>0.94812925199999998</v>
      </c>
      <c r="N250" s="1">
        <f>(Table810[[#This Row],[paccsd]]+Table810[[#This Row],[gaccsd]])/2</f>
        <v>0.21108366849999999</v>
      </c>
      <c r="O250">
        <f>Table810[[#This Row],[mrt]]-(Table810[[#This Row],[macc]]*1000)</f>
        <v>1075.8101750000001</v>
      </c>
      <c r="P250" s="9">
        <f>(Table810[[#This Row],[prt]]-Table810[[#This Row],[grt]])</f>
        <v>-367.18497600000001</v>
      </c>
      <c r="Q250" s="8">
        <f>Table810[[#This Row],[pacc]]-Table810[[#This Row],[gacc]]</f>
        <v>6.2925169999999975E-2</v>
      </c>
      <c r="R250" s="8">
        <f>Table810[[#This Row],[rt_pairing_score]]-Table810[[#This Row],[acc_pairing_score]]</f>
        <v>-367.24790117000003</v>
      </c>
    </row>
    <row r="251" spans="1:18" x14ac:dyDescent="0.25">
      <c r="A251" t="s">
        <v>267</v>
      </c>
      <c r="B251" s="1">
        <v>2019.541667</v>
      </c>
      <c r="C251" s="1">
        <v>683.11501659999999</v>
      </c>
      <c r="D251" s="1">
        <v>0.94</v>
      </c>
      <c r="E251" s="1">
        <v>0.23989793700000001</v>
      </c>
      <c r="F251" s="1">
        <v>518</v>
      </c>
      <c r="G251" s="1">
        <v>2029.3125</v>
      </c>
      <c r="H251" s="1">
        <v>683.33154960000002</v>
      </c>
      <c r="I251" s="1">
        <v>0.95833333300000001</v>
      </c>
      <c r="J251" s="1">
        <v>0.20194093699999999</v>
      </c>
      <c r="K251" s="1">
        <f>(B251+Table810[[#This Row],[grt]])/2</f>
        <v>2024.4270835</v>
      </c>
      <c r="L251" s="1">
        <f>(Table810[[#This Row],[prtsd]]+Table810[[#This Row],[grtsd]])/2</f>
        <v>683.2232831</v>
      </c>
      <c r="M251" s="1">
        <f>(Table810[[#This Row],[pacc]]+Table810[[#This Row],[gacc]])/2</f>
        <v>0.94916666650000003</v>
      </c>
      <c r="N251" s="1">
        <f>(Table810[[#This Row],[paccsd]]+Table810[[#This Row],[gaccsd]])/2</f>
        <v>0.220919437</v>
      </c>
      <c r="O251">
        <f>Table810[[#This Row],[mrt]]-(Table810[[#This Row],[macc]]*1000)</f>
        <v>1075.260417</v>
      </c>
      <c r="P251" s="9">
        <f>(Table810[[#This Row],[prt]]-Table810[[#This Row],[grt]])</f>
        <v>-9.7708330000000387</v>
      </c>
      <c r="Q251" s="8">
        <f>Table810[[#This Row],[pacc]]-Table810[[#This Row],[gacc]]</f>
        <v>-1.8333333000000063E-2</v>
      </c>
      <c r="R251" s="8">
        <f>Table810[[#This Row],[rt_pairing_score]]-Table810[[#This Row],[acc_pairing_score]]</f>
        <v>-9.7524996670000395</v>
      </c>
    </row>
    <row r="252" spans="1:18" x14ac:dyDescent="0.25">
      <c r="A252" t="s">
        <v>294</v>
      </c>
      <c r="B252" s="1">
        <v>1871.5</v>
      </c>
      <c r="C252" s="1">
        <v>750.15856480000002</v>
      </c>
      <c r="D252" s="1">
        <v>0.95918367299999996</v>
      </c>
      <c r="E252" s="1">
        <v>0.19991494800000001</v>
      </c>
      <c r="F252" s="1">
        <v>453</v>
      </c>
      <c r="G252" s="1">
        <v>2148.895833</v>
      </c>
      <c r="H252" s="1">
        <v>669.0310313</v>
      </c>
      <c r="I252" s="1">
        <v>0.91666666699999999</v>
      </c>
      <c r="J252" s="1">
        <v>0.27931019400000001</v>
      </c>
      <c r="K252" s="1">
        <f>(B252+Table810[[#This Row],[grt]])/2</f>
        <v>2010.1979165</v>
      </c>
      <c r="L252" s="1">
        <f>(Table810[[#This Row],[prtsd]]+Table810[[#This Row],[grtsd]])/2</f>
        <v>709.59479805000001</v>
      </c>
      <c r="M252" s="1">
        <f>(Table810[[#This Row],[pacc]]+Table810[[#This Row],[gacc]])/2</f>
        <v>0.93792516999999997</v>
      </c>
      <c r="N252" s="1">
        <f>(Table810[[#This Row],[paccsd]]+Table810[[#This Row],[gaccsd]])/2</f>
        <v>0.239612571</v>
      </c>
      <c r="O252">
        <f>Table810[[#This Row],[mrt]]-(Table810[[#This Row],[macc]]*1000)</f>
        <v>1072.2727465</v>
      </c>
      <c r="P252" s="9">
        <f>(Table810[[#This Row],[prt]]-Table810[[#This Row],[grt]])</f>
        <v>-277.39583300000004</v>
      </c>
      <c r="Q252" s="8">
        <f>Table810[[#This Row],[pacc]]-Table810[[#This Row],[gacc]]</f>
        <v>4.2517005999999968E-2</v>
      </c>
      <c r="R252" s="8">
        <f>Table810[[#This Row],[rt_pairing_score]]-Table810[[#This Row],[acc_pairing_score]]</f>
        <v>-277.43835000600006</v>
      </c>
    </row>
    <row r="253" spans="1:18" x14ac:dyDescent="0.25">
      <c r="A253" t="s">
        <v>287</v>
      </c>
      <c r="B253" s="1">
        <v>1970.7755099999999</v>
      </c>
      <c r="C253" s="1">
        <v>687.90237509999997</v>
      </c>
      <c r="D253" s="1">
        <v>0.95918367299999996</v>
      </c>
      <c r="E253" s="1">
        <v>0.19991494800000001</v>
      </c>
      <c r="F253" s="1">
        <v>458</v>
      </c>
      <c r="G253" s="1">
        <v>2025.617021</v>
      </c>
      <c r="H253" s="1">
        <v>690.16521499999999</v>
      </c>
      <c r="I253" s="1">
        <v>0.89583333300000001</v>
      </c>
      <c r="J253" s="1">
        <v>0.30870927799999998</v>
      </c>
      <c r="K253" s="1">
        <f>(B253+Table810[[#This Row],[grt]])/2</f>
        <v>1998.1962655</v>
      </c>
      <c r="L253" s="1">
        <f>(Table810[[#This Row],[prtsd]]+Table810[[#This Row],[grtsd]])/2</f>
        <v>689.03379504999998</v>
      </c>
      <c r="M253" s="1">
        <f>(Table810[[#This Row],[pacc]]+Table810[[#This Row],[gacc]])/2</f>
        <v>0.92750850299999998</v>
      </c>
      <c r="N253" s="1">
        <f>(Table810[[#This Row],[paccsd]]+Table810[[#This Row],[gaccsd]])/2</f>
        <v>0.25431211300000001</v>
      </c>
      <c r="O253">
        <f>Table810[[#This Row],[mrt]]-(Table810[[#This Row],[macc]]*1000)</f>
        <v>1070.6877625</v>
      </c>
      <c r="P253" s="9">
        <f>(Table810[[#This Row],[prt]]-Table810[[#This Row],[grt]])</f>
        <v>-54.841511000000082</v>
      </c>
      <c r="Q253" s="8">
        <f>Table810[[#This Row],[pacc]]-Table810[[#This Row],[gacc]]</f>
        <v>6.3350339999999949E-2</v>
      </c>
      <c r="R253" s="8">
        <f>Table810[[#This Row],[rt_pairing_score]]-Table810[[#This Row],[acc_pairing_score]]</f>
        <v>-54.904861340000082</v>
      </c>
    </row>
    <row r="254" spans="1:18" x14ac:dyDescent="0.25">
      <c r="A254" t="s">
        <v>90</v>
      </c>
      <c r="B254" s="1">
        <v>1921.9795919999999</v>
      </c>
      <c r="C254" s="1">
        <v>657.78160920000005</v>
      </c>
      <c r="D254" s="1">
        <v>0.78</v>
      </c>
      <c r="E254" s="1">
        <v>0.41845195800000001</v>
      </c>
      <c r="F254" s="1">
        <v>128</v>
      </c>
      <c r="G254" s="1">
        <v>1998.25</v>
      </c>
      <c r="H254" s="1">
        <v>661.68635300000005</v>
      </c>
      <c r="I254" s="1">
        <v>1</v>
      </c>
      <c r="J254" s="1">
        <v>0</v>
      </c>
      <c r="K254" s="1">
        <f>(B254+Table810[[#This Row],[grt]])/2</f>
        <v>1960.1147959999998</v>
      </c>
      <c r="L254" s="1">
        <f>(Table810[[#This Row],[prtsd]]+Table810[[#This Row],[grtsd]])/2</f>
        <v>659.73398110000005</v>
      </c>
      <c r="M254" s="1">
        <f>(Table810[[#This Row],[pacc]]+Table810[[#This Row],[gacc]])/2</f>
        <v>0.89</v>
      </c>
      <c r="N254" s="1">
        <f>(Table810[[#This Row],[paccsd]]+Table810[[#This Row],[gaccsd]])/2</f>
        <v>0.20922597900000001</v>
      </c>
      <c r="O254">
        <f>Table810[[#This Row],[mrt]]-(Table810[[#This Row],[macc]]*1000)</f>
        <v>1070.1147959999998</v>
      </c>
      <c r="P254" s="9">
        <f>(Table810[[#This Row],[prt]]-Table810[[#This Row],[grt]])</f>
        <v>-76.270408000000089</v>
      </c>
      <c r="Q254" s="8">
        <f>Table810[[#This Row],[pacc]]-Table810[[#This Row],[gacc]]</f>
        <v>-0.21999999999999997</v>
      </c>
      <c r="R254" s="8">
        <f>Table810[[#This Row],[rt_pairing_score]]-Table810[[#This Row],[acc_pairing_score]]</f>
        <v>-76.05040800000009</v>
      </c>
    </row>
    <row r="255" spans="1:18" x14ac:dyDescent="0.25">
      <c r="A255" t="s">
        <v>101</v>
      </c>
      <c r="B255" s="1">
        <v>1964.145833</v>
      </c>
      <c r="C255" s="1">
        <v>544.17296180000005</v>
      </c>
      <c r="D255" s="1">
        <v>0.81632653099999997</v>
      </c>
      <c r="E255" s="1">
        <v>0.39123039799999998</v>
      </c>
      <c r="F255" s="1">
        <v>342</v>
      </c>
      <c r="G255" s="1">
        <v>1945.375</v>
      </c>
      <c r="H255" s="1">
        <v>532.80512680000004</v>
      </c>
      <c r="I255" s="1">
        <v>0.95833333300000001</v>
      </c>
      <c r="J255" s="1">
        <v>0.20194093699999999</v>
      </c>
      <c r="K255" s="1">
        <f>(B255+Table810[[#This Row],[grt]])/2</f>
        <v>1954.7604165</v>
      </c>
      <c r="L255" s="1">
        <f>(Table810[[#This Row],[prtsd]]+Table810[[#This Row],[grtsd]])/2</f>
        <v>538.48904430000005</v>
      </c>
      <c r="M255" s="1">
        <f>(Table810[[#This Row],[pacc]]+Table810[[#This Row],[gacc]])/2</f>
        <v>0.88732993199999999</v>
      </c>
      <c r="N255" s="1">
        <f>(Table810[[#This Row],[paccsd]]+Table810[[#This Row],[gaccsd]])/2</f>
        <v>0.29658566749999998</v>
      </c>
      <c r="O255">
        <f>Table810[[#This Row],[mrt]]-(Table810[[#This Row],[macc]]*1000)</f>
        <v>1067.4304845000001</v>
      </c>
      <c r="P255" s="9">
        <f>(Table810[[#This Row],[prt]]-Table810[[#This Row],[grt]])</f>
        <v>18.770833000000039</v>
      </c>
      <c r="Q255" s="8">
        <f>Table810[[#This Row],[pacc]]-Table810[[#This Row],[gacc]]</f>
        <v>-0.14200680200000004</v>
      </c>
      <c r="R255" s="8">
        <f>Table810[[#This Row],[rt_pairing_score]]-Table810[[#This Row],[acc_pairing_score]]</f>
        <v>18.91283980200004</v>
      </c>
    </row>
    <row r="256" spans="1:18" x14ac:dyDescent="0.25">
      <c r="A256" t="s">
        <v>240</v>
      </c>
      <c r="B256" s="1">
        <v>1992.5714290000001</v>
      </c>
      <c r="C256" s="1">
        <v>642.41893130000005</v>
      </c>
      <c r="D256" s="1">
        <v>0.93877551000000004</v>
      </c>
      <c r="E256" s="1">
        <v>0.24222607099999999</v>
      </c>
      <c r="F256" s="1">
        <v>412</v>
      </c>
      <c r="G256" s="1">
        <v>2014.3191489999999</v>
      </c>
      <c r="H256" s="1">
        <v>646.52297810000005</v>
      </c>
      <c r="I256" s="1">
        <v>0.93617021300000003</v>
      </c>
      <c r="J256" s="1">
        <v>0.24709224799999999</v>
      </c>
      <c r="K256" s="1">
        <f>(B256+Table810[[#This Row],[grt]])/2</f>
        <v>2003.445289</v>
      </c>
      <c r="L256" s="1">
        <f>(Table810[[#This Row],[prtsd]]+Table810[[#This Row],[grtsd]])/2</f>
        <v>644.47095469999999</v>
      </c>
      <c r="M256" s="1">
        <f>(Table810[[#This Row],[pacc]]+Table810[[#This Row],[gacc]])/2</f>
        <v>0.93747286150000009</v>
      </c>
      <c r="N256" s="1">
        <f>(Table810[[#This Row],[paccsd]]+Table810[[#This Row],[gaccsd]])/2</f>
        <v>0.2446591595</v>
      </c>
      <c r="O256">
        <f>Table810[[#This Row],[mrt]]-(Table810[[#This Row],[macc]]*1000)</f>
        <v>1065.9724274999999</v>
      </c>
      <c r="P256" s="9">
        <f>(Table810[[#This Row],[prt]]-Table810[[#This Row],[grt]])</f>
        <v>-21.747719999999845</v>
      </c>
      <c r="Q256" s="8">
        <f>Table810[[#This Row],[pacc]]-Table810[[#This Row],[gacc]]</f>
        <v>2.6052970000000064E-3</v>
      </c>
      <c r="R256" s="8">
        <f>Table810[[#This Row],[rt_pairing_score]]-Table810[[#This Row],[acc_pairing_score]]</f>
        <v>-21.750325296999844</v>
      </c>
    </row>
    <row r="257" spans="1:18" x14ac:dyDescent="0.25">
      <c r="A257" t="s">
        <v>161</v>
      </c>
      <c r="B257" s="1">
        <v>1985.5957450000001</v>
      </c>
      <c r="C257" s="1">
        <v>611.31187020000004</v>
      </c>
      <c r="D257" s="1">
        <v>0.88</v>
      </c>
      <c r="E257" s="1">
        <v>0.32826072299999998</v>
      </c>
      <c r="F257" s="1">
        <v>137</v>
      </c>
      <c r="G257" s="1">
        <v>1983.375</v>
      </c>
      <c r="H257" s="1">
        <v>609.06763850000004</v>
      </c>
      <c r="I257" s="1">
        <v>0.95833333300000001</v>
      </c>
      <c r="J257" s="1">
        <v>0.20194093699999999</v>
      </c>
      <c r="K257" s="1">
        <f>(B257+Table810[[#This Row],[grt]])/2</f>
        <v>1984.4853725</v>
      </c>
      <c r="L257" s="1">
        <f>(Table810[[#This Row],[prtsd]]+Table810[[#This Row],[grtsd]])/2</f>
        <v>610.18975435000004</v>
      </c>
      <c r="M257" s="1">
        <f>(Table810[[#This Row],[pacc]]+Table810[[#This Row],[gacc]])/2</f>
        <v>0.91916666650000001</v>
      </c>
      <c r="N257" s="1">
        <f>(Table810[[#This Row],[paccsd]]+Table810[[#This Row],[gaccsd]])/2</f>
        <v>0.26510082999999995</v>
      </c>
      <c r="O257">
        <f>Table810[[#This Row],[mrt]]-(Table810[[#This Row],[macc]]*1000)</f>
        <v>1065.318706</v>
      </c>
      <c r="P257" s="9">
        <f>(Table810[[#This Row],[prt]]-Table810[[#This Row],[grt]])</f>
        <v>2.220745000000079</v>
      </c>
      <c r="Q257" s="8">
        <f>Table810[[#This Row],[pacc]]-Table810[[#This Row],[gacc]]</f>
        <v>-7.8333333000000005E-2</v>
      </c>
      <c r="R257" s="8">
        <f>Table810[[#This Row],[rt_pairing_score]]-Table810[[#This Row],[acc_pairing_score]]</f>
        <v>2.2990783330000788</v>
      </c>
    </row>
    <row r="258" spans="1:18" x14ac:dyDescent="0.25">
      <c r="A258" t="s">
        <v>151</v>
      </c>
      <c r="B258" s="1">
        <v>1765.918367</v>
      </c>
      <c r="C258" s="1">
        <v>739.08591730000001</v>
      </c>
      <c r="D258" s="1">
        <v>0.87755101999999996</v>
      </c>
      <c r="E258" s="1">
        <v>0.33120066100000001</v>
      </c>
      <c r="F258" s="1">
        <v>408</v>
      </c>
      <c r="G258" s="1">
        <v>2138.020833</v>
      </c>
      <c r="H258" s="1">
        <v>652.00859839999998</v>
      </c>
      <c r="I258" s="1">
        <v>0.89583333300000001</v>
      </c>
      <c r="J258" s="1">
        <v>0.30870927799999998</v>
      </c>
      <c r="K258" s="1">
        <f>(B258+Table810[[#This Row],[grt]])/2</f>
        <v>1951.9695999999999</v>
      </c>
      <c r="L258" s="1">
        <f>(Table810[[#This Row],[prtsd]]+Table810[[#This Row],[grtsd]])/2</f>
        <v>695.54725785000005</v>
      </c>
      <c r="M258" s="1">
        <f>(Table810[[#This Row],[pacc]]+Table810[[#This Row],[gacc]])/2</f>
        <v>0.88669217649999998</v>
      </c>
      <c r="N258" s="1">
        <f>(Table810[[#This Row],[paccsd]]+Table810[[#This Row],[gaccsd]])/2</f>
        <v>0.31995496950000002</v>
      </c>
      <c r="O258">
        <f>Table810[[#This Row],[mrt]]-(Table810[[#This Row],[macc]]*1000)</f>
        <v>1065.2774234999999</v>
      </c>
      <c r="P258" s="9">
        <f>(Table810[[#This Row],[prt]]-Table810[[#This Row],[grt]])</f>
        <v>-372.10246600000005</v>
      </c>
      <c r="Q258" s="8">
        <f>Table810[[#This Row],[pacc]]-Table810[[#This Row],[gacc]]</f>
        <v>-1.828231300000005E-2</v>
      </c>
      <c r="R258" s="8">
        <f>Table810[[#This Row],[rt_pairing_score]]-Table810[[#This Row],[acc_pairing_score]]</f>
        <v>-372.08418368700006</v>
      </c>
    </row>
    <row r="259" spans="1:18" x14ac:dyDescent="0.25">
      <c r="A259" t="s">
        <v>247</v>
      </c>
      <c r="B259" s="1">
        <v>1954.8367350000001</v>
      </c>
      <c r="C259" s="1">
        <v>850.76525230000004</v>
      </c>
      <c r="D259" s="1">
        <v>0.93877551000000004</v>
      </c>
      <c r="E259" s="1">
        <v>0.24222607099999999</v>
      </c>
      <c r="F259" s="1">
        <v>139</v>
      </c>
      <c r="G259" s="1">
        <v>1987.446809</v>
      </c>
      <c r="H259" s="1">
        <v>860.83323659999996</v>
      </c>
      <c r="I259" s="1">
        <v>0.89361702099999996</v>
      </c>
      <c r="J259" s="1">
        <v>0.31166052799999999</v>
      </c>
      <c r="K259" s="1">
        <f>(B259+Table810[[#This Row],[grt]])/2</f>
        <v>1971.1417719999999</v>
      </c>
      <c r="L259" s="1">
        <f>(Table810[[#This Row],[prtsd]]+Table810[[#This Row],[grtsd]])/2</f>
        <v>855.79924445000006</v>
      </c>
      <c r="M259" s="1">
        <f>(Table810[[#This Row],[pacc]]+Table810[[#This Row],[gacc]])/2</f>
        <v>0.9161962655</v>
      </c>
      <c r="N259" s="1">
        <f>(Table810[[#This Row],[paccsd]]+Table810[[#This Row],[gaccsd]])/2</f>
        <v>0.27694329949999996</v>
      </c>
      <c r="O259">
        <f>Table810[[#This Row],[mrt]]-(Table810[[#This Row],[macc]]*1000)</f>
        <v>1054.9455065</v>
      </c>
      <c r="P259" s="9">
        <f>(Table810[[#This Row],[prt]]-Table810[[#This Row],[grt]])</f>
        <v>-32.61007399999994</v>
      </c>
      <c r="Q259" s="8">
        <f>Table810[[#This Row],[pacc]]-Table810[[#This Row],[gacc]]</f>
        <v>4.5158489000000079E-2</v>
      </c>
      <c r="R259" s="8">
        <f>Table810[[#This Row],[rt_pairing_score]]-Table810[[#This Row],[acc_pairing_score]]</f>
        <v>-32.655232488999943</v>
      </c>
    </row>
    <row r="260" spans="1:18" x14ac:dyDescent="0.25">
      <c r="A260" t="s">
        <v>366</v>
      </c>
      <c r="B260" s="1">
        <v>2020.42</v>
      </c>
      <c r="C260" s="1">
        <v>584.68980399999998</v>
      </c>
      <c r="D260" s="1">
        <v>0.98</v>
      </c>
      <c r="E260" s="1">
        <v>0.141421356</v>
      </c>
      <c r="F260" s="1">
        <v>570</v>
      </c>
      <c r="G260" s="1">
        <v>2043.8125</v>
      </c>
      <c r="H260" s="1">
        <v>584.45368770000005</v>
      </c>
      <c r="I260" s="1">
        <v>0.97916666699999999</v>
      </c>
      <c r="J260" s="1">
        <v>0.144337567</v>
      </c>
      <c r="K260" s="1">
        <f>(B260+Table810[[#This Row],[grt]])/2</f>
        <v>2032.11625</v>
      </c>
      <c r="L260" s="1">
        <f>(Table810[[#This Row],[prtsd]]+Table810[[#This Row],[grtsd]])/2</f>
        <v>584.57174585000007</v>
      </c>
      <c r="M260" s="1">
        <f>(Table810[[#This Row],[pacc]]+Table810[[#This Row],[gacc]])/2</f>
        <v>0.97958333349999993</v>
      </c>
      <c r="N260" s="1">
        <f>(Table810[[#This Row],[paccsd]]+Table810[[#This Row],[gaccsd]])/2</f>
        <v>0.1428794615</v>
      </c>
      <c r="O260">
        <f>Table810[[#This Row],[mrt]]-(Table810[[#This Row],[macc]]*1000)</f>
        <v>1052.5329165000001</v>
      </c>
      <c r="P260" s="9">
        <f>(Table810[[#This Row],[prt]]-Table810[[#This Row],[grt]])</f>
        <v>-23.392499999999927</v>
      </c>
      <c r="Q260" s="8">
        <f>Table810[[#This Row],[pacc]]-Table810[[#This Row],[gacc]]</f>
        <v>8.3333299999999166E-4</v>
      </c>
      <c r="R260" s="8">
        <f>Table810[[#This Row],[rt_pairing_score]]-Table810[[#This Row],[acc_pairing_score]]</f>
        <v>-23.393333332999926</v>
      </c>
    </row>
    <row r="261" spans="1:18" x14ac:dyDescent="0.25">
      <c r="A261" t="s">
        <v>295</v>
      </c>
      <c r="B261" s="1">
        <v>1839.3265309999999</v>
      </c>
      <c r="C261" s="1">
        <v>680.87362350000001</v>
      </c>
      <c r="D261" s="1">
        <v>0.95918367299999996</v>
      </c>
      <c r="E261" s="1">
        <v>0.19991494800000001</v>
      </c>
      <c r="F261" s="1">
        <v>433</v>
      </c>
      <c r="G261" s="1">
        <v>2087.3617020000002</v>
      </c>
      <c r="H261" s="1">
        <v>675.85747230000004</v>
      </c>
      <c r="I261" s="1">
        <v>0.87234042599999995</v>
      </c>
      <c r="J261" s="1">
        <v>0.33731814900000001</v>
      </c>
      <c r="K261" s="1">
        <f>(B261+Table810[[#This Row],[grt]])/2</f>
        <v>1963.3441164999999</v>
      </c>
      <c r="L261" s="1">
        <f>(Table810[[#This Row],[prtsd]]+Table810[[#This Row],[grtsd]])/2</f>
        <v>678.36554790000002</v>
      </c>
      <c r="M261" s="1">
        <f>(Table810[[#This Row],[pacc]]+Table810[[#This Row],[gacc]])/2</f>
        <v>0.91576204949999995</v>
      </c>
      <c r="N261" s="1">
        <f>(Table810[[#This Row],[paccsd]]+Table810[[#This Row],[gaccsd]])/2</f>
        <v>0.2686165485</v>
      </c>
      <c r="O261">
        <f>Table810[[#This Row],[mrt]]-(Table810[[#This Row],[macc]]*1000)</f>
        <v>1047.5820669999998</v>
      </c>
      <c r="P261" s="9">
        <f>(Table810[[#This Row],[prt]]-Table810[[#This Row],[grt]])</f>
        <v>-248.03517100000022</v>
      </c>
      <c r="Q261" s="8">
        <f>Table810[[#This Row],[pacc]]-Table810[[#This Row],[gacc]]</f>
        <v>8.6843247000000012E-2</v>
      </c>
      <c r="R261" s="8">
        <f>Table810[[#This Row],[rt_pairing_score]]-Table810[[#This Row],[acc_pairing_score]]</f>
        <v>-248.12201424700021</v>
      </c>
    </row>
    <row r="262" spans="1:18" x14ac:dyDescent="0.25">
      <c r="A262" t="s">
        <v>238</v>
      </c>
      <c r="B262" s="1">
        <v>1982.479167</v>
      </c>
      <c r="C262" s="1">
        <v>634.60029269999995</v>
      </c>
      <c r="D262" s="1">
        <v>0.93877551000000004</v>
      </c>
      <c r="E262" s="1">
        <v>0.24222607099999999</v>
      </c>
      <c r="F262" s="1">
        <v>99</v>
      </c>
      <c r="G262" s="1">
        <v>1982.531915</v>
      </c>
      <c r="H262" s="1">
        <v>636.11821610000004</v>
      </c>
      <c r="I262" s="1">
        <v>0.9375</v>
      </c>
      <c r="J262" s="1">
        <v>0.24462302699999999</v>
      </c>
      <c r="K262" s="1">
        <f>(B262+Table810[[#This Row],[grt]])/2</f>
        <v>1982.505541</v>
      </c>
      <c r="L262" s="1">
        <f>(Table810[[#This Row],[prtsd]]+Table810[[#This Row],[grtsd]])/2</f>
        <v>635.35925440000005</v>
      </c>
      <c r="M262" s="1">
        <f>(Table810[[#This Row],[pacc]]+Table810[[#This Row],[gacc]])/2</f>
        <v>0.93813775500000007</v>
      </c>
      <c r="N262" s="1">
        <f>(Table810[[#This Row],[paccsd]]+Table810[[#This Row],[gaccsd]])/2</f>
        <v>0.24342454899999999</v>
      </c>
      <c r="O262">
        <f>Table810[[#This Row],[mrt]]-(Table810[[#This Row],[macc]]*1000)</f>
        <v>1044.3677859999998</v>
      </c>
      <c r="P262" s="9">
        <f>(Table810[[#This Row],[prt]]-Table810[[#This Row],[grt]])</f>
        <v>-5.2748000000065076E-2</v>
      </c>
      <c r="Q262" s="8">
        <f>Table810[[#This Row],[pacc]]-Table810[[#This Row],[gacc]]</f>
        <v>1.2755100000000352E-3</v>
      </c>
      <c r="R262" s="8">
        <f>Table810[[#This Row],[rt_pairing_score]]-Table810[[#This Row],[acc_pairing_score]]</f>
        <v>-5.4023510000065111E-2</v>
      </c>
    </row>
    <row r="263" spans="1:18" x14ac:dyDescent="0.25">
      <c r="A263" t="s">
        <v>227</v>
      </c>
      <c r="B263" s="1">
        <v>1959.84</v>
      </c>
      <c r="C263" s="1">
        <v>662.58126530000004</v>
      </c>
      <c r="D263" s="1">
        <v>0.92</v>
      </c>
      <c r="E263" s="1">
        <v>0.27404751599999999</v>
      </c>
      <c r="F263" s="1">
        <v>319</v>
      </c>
      <c r="G263" s="1">
        <v>1978.4347829999999</v>
      </c>
      <c r="H263" s="1">
        <v>663.02440549999994</v>
      </c>
      <c r="I263" s="1">
        <v>0.93617021300000003</v>
      </c>
      <c r="J263" s="1">
        <v>0.24709224799999999</v>
      </c>
      <c r="K263" s="1">
        <f>(B263+Table810[[#This Row],[grt]])/2</f>
        <v>1969.1373914999999</v>
      </c>
      <c r="L263" s="1">
        <f>(Table810[[#This Row],[prtsd]]+Table810[[#This Row],[grtsd]])/2</f>
        <v>662.80283540000005</v>
      </c>
      <c r="M263" s="1">
        <f>(Table810[[#This Row],[pacc]]+Table810[[#This Row],[gacc]])/2</f>
        <v>0.92808510649999998</v>
      </c>
      <c r="N263" s="1">
        <f>(Table810[[#This Row],[paccsd]]+Table810[[#This Row],[gaccsd]])/2</f>
        <v>0.26056988199999997</v>
      </c>
      <c r="O263">
        <f>Table810[[#This Row],[mrt]]-(Table810[[#This Row],[macc]]*1000)</f>
        <v>1041.052285</v>
      </c>
      <c r="P263" s="9">
        <f>(Table810[[#This Row],[prt]]-Table810[[#This Row],[grt]])</f>
        <v>-18.594783000000007</v>
      </c>
      <c r="Q263" s="8">
        <f>Table810[[#This Row],[pacc]]-Table810[[#This Row],[gacc]]</f>
        <v>-1.6170212999999989E-2</v>
      </c>
      <c r="R263" s="8">
        <f>Table810[[#This Row],[rt_pairing_score]]-Table810[[#This Row],[acc_pairing_score]]</f>
        <v>-18.578612787000008</v>
      </c>
    </row>
    <row r="264" spans="1:18" x14ac:dyDescent="0.25">
      <c r="A264" t="s">
        <v>224</v>
      </c>
      <c r="B264" s="1">
        <v>1956.48</v>
      </c>
      <c r="C264" s="1">
        <v>648.07804520000002</v>
      </c>
      <c r="D264" s="1">
        <v>0.92</v>
      </c>
      <c r="E264" s="1">
        <v>0.27404751599999999</v>
      </c>
      <c r="F264" s="1">
        <v>466</v>
      </c>
      <c r="G264" s="1">
        <v>1957.042553</v>
      </c>
      <c r="H264" s="1">
        <v>651.59720010000001</v>
      </c>
      <c r="I264" s="1">
        <v>0.91666666699999999</v>
      </c>
      <c r="J264" s="1">
        <v>0.27931019400000001</v>
      </c>
      <c r="K264" s="1">
        <f>(B264+Table810[[#This Row],[grt]])/2</f>
        <v>1956.7612764999999</v>
      </c>
      <c r="L264" s="1">
        <f>(Table810[[#This Row],[prtsd]]+Table810[[#This Row],[grtsd]])/2</f>
        <v>649.83762264999996</v>
      </c>
      <c r="M264" s="1">
        <f>(Table810[[#This Row],[pacc]]+Table810[[#This Row],[gacc]])/2</f>
        <v>0.91833333350000002</v>
      </c>
      <c r="N264" s="1">
        <f>(Table810[[#This Row],[paccsd]]+Table810[[#This Row],[gaccsd]])/2</f>
        <v>0.276678855</v>
      </c>
      <c r="O264">
        <f>Table810[[#This Row],[mrt]]-(Table810[[#This Row],[macc]]*1000)</f>
        <v>1038.4279429999999</v>
      </c>
      <c r="P264" s="9">
        <f>(Table810[[#This Row],[prt]]-Table810[[#This Row],[grt]])</f>
        <v>-0.56255299999997987</v>
      </c>
      <c r="Q264" s="8">
        <f>Table810[[#This Row],[pacc]]-Table810[[#This Row],[gacc]]</f>
        <v>3.3333330000000494E-3</v>
      </c>
      <c r="R264" s="8">
        <f>Table810[[#This Row],[rt_pairing_score]]-Table810[[#This Row],[acc_pairing_score]]</f>
        <v>-0.56588633299997992</v>
      </c>
    </row>
    <row r="265" spans="1:18" x14ac:dyDescent="0.25">
      <c r="A265" t="s">
        <v>304</v>
      </c>
      <c r="B265" s="1">
        <v>1966.734694</v>
      </c>
      <c r="C265" s="1">
        <v>584.87220030000003</v>
      </c>
      <c r="D265" s="1">
        <v>0.96</v>
      </c>
      <c r="E265" s="1">
        <v>0.197948664</v>
      </c>
      <c r="F265" s="1">
        <v>275</v>
      </c>
      <c r="G265" s="1">
        <v>2004.791667</v>
      </c>
      <c r="H265" s="1">
        <v>594.18476090000001</v>
      </c>
      <c r="I265" s="1">
        <v>0.9375</v>
      </c>
      <c r="J265" s="1">
        <v>0.24462302699999999</v>
      </c>
      <c r="K265" s="1">
        <f>(B265+Table810[[#This Row],[grt]])/2</f>
        <v>1985.7631805000001</v>
      </c>
      <c r="L265" s="1">
        <f>(Table810[[#This Row],[prtsd]]+Table810[[#This Row],[grtsd]])/2</f>
        <v>589.52848059999997</v>
      </c>
      <c r="M265" s="1">
        <f>(Table810[[#This Row],[pacc]]+Table810[[#This Row],[gacc]])/2</f>
        <v>0.94874999999999998</v>
      </c>
      <c r="N265" s="1">
        <f>(Table810[[#This Row],[paccsd]]+Table810[[#This Row],[gaccsd]])/2</f>
        <v>0.22128584549999999</v>
      </c>
      <c r="O265">
        <f>Table810[[#This Row],[mrt]]-(Table810[[#This Row],[macc]]*1000)</f>
        <v>1037.0131805000001</v>
      </c>
      <c r="P265" s="9">
        <f>(Table810[[#This Row],[prt]]-Table810[[#This Row],[grt]])</f>
        <v>-38.056972999999971</v>
      </c>
      <c r="Q265" s="8">
        <f>Table810[[#This Row],[pacc]]-Table810[[#This Row],[gacc]]</f>
        <v>2.2499999999999964E-2</v>
      </c>
      <c r="R265" s="8">
        <f>Table810[[#This Row],[rt_pairing_score]]-Table810[[#This Row],[acc_pairing_score]]</f>
        <v>-38.079472999999972</v>
      </c>
    </row>
    <row r="266" spans="1:18" x14ac:dyDescent="0.25">
      <c r="A266" t="s">
        <v>150</v>
      </c>
      <c r="B266" s="1">
        <v>1953.145833</v>
      </c>
      <c r="C266" s="1">
        <v>592.12286640000002</v>
      </c>
      <c r="D266" s="1">
        <v>0.87755101999999996</v>
      </c>
      <c r="E266" s="1">
        <v>0.33120066100000001</v>
      </c>
      <c r="F266" s="1">
        <v>619</v>
      </c>
      <c r="G266" s="1">
        <v>1933.2765959999999</v>
      </c>
      <c r="H266" s="1">
        <v>593.3118068</v>
      </c>
      <c r="I266" s="1">
        <v>0.9375</v>
      </c>
      <c r="J266" s="1">
        <v>0.24462302699999999</v>
      </c>
      <c r="K266" s="1">
        <f>(B266+Table810[[#This Row],[grt]])/2</f>
        <v>1943.2112145000001</v>
      </c>
      <c r="L266" s="1">
        <f>(Table810[[#This Row],[prtsd]]+Table810[[#This Row],[grtsd]])/2</f>
        <v>592.71733659999995</v>
      </c>
      <c r="M266" s="1">
        <f>(Table810[[#This Row],[pacc]]+Table810[[#This Row],[gacc]])/2</f>
        <v>0.90752550999999992</v>
      </c>
      <c r="N266" s="1">
        <f>(Table810[[#This Row],[paccsd]]+Table810[[#This Row],[gaccsd]])/2</f>
        <v>0.28791184400000003</v>
      </c>
      <c r="O266">
        <f>Table810[[#This Row],[mrt]]-(Table810[[#This Row],[macc]]*1000)</f>
        <v>1035.6857045000002</v>
      </c>
      <c r="P266" s="9">
        <f>(Table810[[#This Row],[prt]]-Table810[[#This Row],[grt]])</f>
        <v>19.869237000000112</v>
      </c>
      <c r="Q266" s="8">
        <f>Table810[[#This Row],[pacc]]-Table810[[#This Row],[gacc]]</f>
        <v>-5.9948980000000041E-2</v>
      </c>
      <c r="R266" s="8">
        <f>Table810[[#This Row],[rt_pairing_score]]-Table810[[#This Row],[acc_pairing_score]]</f>
        <v>19.929185980000113</v>
      </c>
    </row>
    <row r="267" spans="1:18" x14ac:dyDescent="0.25">
      <c r="A267" t="s">
        <v>271</v>
      </c>
      <c r="B267" s="1">
        <v>2014.24</v>
      </c>
      <c r="C267" s="1">
        <v>765.00771129999998</v>
      </c>
      <c r="D267" s="1">
        <v>0.94</v>
      </c>
      <c r="E267" s="1">
        <v>0.23989793700000001</v>
      </c>
      <c r="F267" s="1">
        <v>475</v>
      </c>
      <c r="G267" s="1">
        <v>1972.875</v>
      </c>
      <c r="H267" s="1">
        <v>762.60780539999996</v>
      </c>
      <c r="I267" s="1">
        <v>0.97916666699999999</v>
      </c>
      <c r="J267" s="1">
        <v>0.144337567</v>
      </c>
      <c r="K267" s="1">
        <f>(B267+Table810[[#This Row],[grt]])/2</f>
        <v>1993.5574999999999</v>
      </c>
      <c r="L267" s="1">
        <f>(Table810[[#This Row],[prtsd]]+Table810[[#This Row],[grtsd]])/2</f>
        <v>763.80775834999997</v>
      </c>
      <c r="M267" s="1">
        <f>(Table810[[#This Row],[pacc]]+Table810[[#This Row],[gacc]])/2</f>
        <v>0.95958333349999991</v>
      </c>
      <c r="N267" s="1">
        <f>(Table810[[#This Row],[paccsd]]+Table810[[#This Row],[gaccsd]])/2</f>
        <v>0.192117752</v>
      </c>
      <c r="O267">
        <f>Table810[[#This Row],[mrt]]-(Table810[[#This Row],[macc]]*1000)</f>
        <v>1033.9741665000001</v>
      </c>
      <c r="P267" s="9">
        <f>(Table810[[#This Row],[prt]]-Table810[[#This Row],[grt]])</f>
        <v>41.365000000000009</v>
      </c>
      <c r="Q267" s="8">
        <f>Table810[[#This Row],[pacc]]-Table810[[#This Row],[gacc]]</f>
        <v>-3.9166667000000044E-2</v>
      </c>
      <c r="R267" s="8">
        <f>Table810[[#This Row],[rt_pairing_score]]-Table810[[#This Row],[acc_pairing_score]]</f>
        <v>41.404166667000013</v>
      </c>
    </row>
    <row r="268" spans="1:18" x14ac:dyDescent="0.25">
      <c r="A268" t="s">
        <v>348</v>
      </c>
      <c r="B268" s="1">
        <v>1976</v>
      </c>
      <c r="C268" s="1">
        <v>502.47214380000003</v>
      </c>
      <c r="D268" s="1">
        <v>0.97959183699999997</v>
      </c>
      <c r="E268" s="1">
        <v>0.14285714299999999</v>
      </c>
      <c r="F268" s="1">
        <v>30</v>
      </c>
      <c r="G268" s="1">
        <v>1991.7826090000001</v>
      </c>
      <c r="H268" s="1">
        <v>508.90653639999999</v>
      </c>
      <c r="I268" s="1">
        <v>0.93478260899999999</v>
      </c>
      <c r="J268" s="1">
        <v>0.249637418</v>
      </c>
      <c r="K268" s="1">
        <f>(B268+Table810[[#This Row],[grt]])/2</f>
        <v>1983.8913044999999</v>
      </c>
      <c r="L268" s="1">
        <f>(Table810[[#This Row],[prtsd]]+Table810[[#This Row],[grtsd]])/2</f>
        <v>505.68934009999998</v>
      </c>
      <c r="M268" s="1">
        <f>(Table810[[#This Row],[pacc]]+Table810[[#This Row],[gacc]])/2</f>
        <v>0.95718722300000003</v>
      </c>
      <c r="N268" s="1">
        <f>(Table810[[#This Row],[paccsd]]+Table810[[#This Row],[gaccsd]])/2</f>
        <v>0.19624728050000001</v>
      </c>
      <c r="O268">
        <f>Table810[[#This Row],[mrt]]-(Table810[[#This Row],[macc]]*1000)</f>
        <v>1026.7040815</v>
      </c>
      <c r="P268" s="9">
        <f>(Table810[[#This Row],[prt]]-Table810[[#This Row],[grt]])</f>
        <v>-15.782609000000093</v>
      </c>
      <c r="Q268" s="8">
        <f>Table810[[#This Row],[pacc]]-Table810[[#This Row],[gacc]]</f>
        <v>4.4809227999999979E-2</v>
      </c>
      <c r="R268" s="8">
        <f>Table810[[#This Row],[rt_pairing_score]]-Table810[[#This Row],[acc_pairing_score]]</f>
        <v>-15.827418228000093</v>
      </c>
    </row>
    <row r="269" spans="1:18" x14ac:dyDescent="0.25">
      <c r="A269" t="s">
        <v>144</v>
      </c>
      <c r="B269" s="1">
        <v>1937.395833</v>
      </c>
      <c r="C269" s="1">
        <v>696.94490580000002</v>
      </c>
      <c r="D269" s="1">
        <v>0.87755101999999996</v>
      </c>
      <c r="E269" s="1">
        <v>0.33120066100000001</v>
      </c>
      <c r="F269" s="1">
        <v>17</v>
      </c>
      <c r="G269" s="1">
        <v>1927.0638300000001</v>
      </c>
      <c r="H269" s="1">
        <v>698.73504979999996</v>
      </c>
      <c r="I269" s="1">
        <v>0.93617021300000003</v>
      </c>
      <c r="J269" s="1">
        <v>0.24709224799999999</v>
      </c>
      <c r="K269" s="1">
        <f>(B269+Table810[[#This Row],[grt]])/2</f>
        <v>1932.2298315</v>
      </c>
      <c r="L269" s="1">
        <f>(Table810[[#This Row],[prtsd]]+Table810[[#This Row],[grtsd]])/2</f>
        <v>697.83997780000004</v>
      </c>
      <c r="M269" s="1">
        <f>(Table810[[#This Row],[pacc]]+Table810[[#This Row],[gacc]])/2</f>
        <v>0.90686061649999994</v>
      </c>
      <c r="N269" s="1">
        <f>(Table810[[#This Row],[paccsd]]+Table810[[#This Row],[gaccsd]])/2</f>
        <v>0.28914645449999998</v>
      </c>
      <c r="O269">
        <f>Table810[[#This Row],[mrt]]-(Table810[[#This Row],[macc]]*1000)</f>
        <v>1025.3692150000002</v>
      </c>
      <c r="P269" s="9">
        <f>(Table810[[#This Row],[prt]]-Table810[[#This Row],[grt]])</f>
        <v>10.332002999999986</v>
      </c>
      <c r="Q269" s="8">
        <f>Table810[[#This Row],[pacc]]-Table810[[#This Row],[gacc]]</f>
        <v>-5.8619193000000069E-2</v>
      </c>
      <c r="R269" s="8">
        <f>Table810[[#This Row],[rt_pairing_score]]-Table810[[#This Row],[acc_pairing_score]]</f>
        <v>10.390622192999986</v>
      </c>
    </row>
    <row r="270" spans="1:18" x14ac:dyDescent="0.25">
      <c r="A270" t="s">
        <v>332</v>
      </c>
      <c r="B270" s="1">
        <v>1794.625</v>
      </c>
      <c r="C270" s="1">
        <v>757.92299119999996</v>
      </c>
      <c r="D270" s="1">
        <v>0.97916666699999999</v>
      </c>
      <c r="E270" s="1">
        <v>0.144337567</v>
      </c>
      <c r="F270" s="1">
        <v>232</v>
      </c>
      <c r="G270" s="1">
        <v>2196.3125</v>
      </c>
      <c r="H270" s="1">
        <v>668.96134659999996</v>
      </c>
      <c r="I270" s="1">
        <v>0.97916666699999999</v>
      </c>
      <c r="J270" s="1">
        <v>0.144337567</v>
      </c>
      <c r="K270" s="1">
        <f>(B270+Table810[[#This Row],[grt]])/2</f>
        <v>1995.46875</v>
      </c>
      <c r="L270" s="1">
        <f>(Table810[[#This Row],[prtsd]]+Table810[[#This Row],[grtsd]])/2</f>
        <v>713.44216889999996</v>
      </c>
      <c r="M270" s="1">
        <f>(Table810[[#This Row],[pacc]]+Table810[[#This Row],[gacc]])/2</f>
        <v>0.97916666699999999</v>
      </c>
      <c r="N270" s="1">
        <f>(Table810[[#This Row],[paccsd]]+Table810[[#This Row],[gaccsd]])/2</f>
        <v>0.144337567</v>
      </c>
      <c r="O270">
        <f>Table810[[#This Row],[mrt]]-(Table810[[#This Row],[macc]]*1000)</f>
        <v>1016.302083</v>
      </c>
      <c r="P270" s="9">
        <f>(Table810[[#This Row],[prt]]-Table810[[#This Row],[grt]])</f>
        <v>-401.6875</v>
      </c>
      <c r="Q270" s="8">
        <f>Table810[[#This Row],[pacc]]-Table810[[#This Row],[gacc]]</f>
        <v>0</v>
      </c>
      <c r="R270" s="8">
        <f>Table810[[#This Row],[rt_pairing_score]]-Table810[[#This Row],[acc_pairing_score]]</f>
        <v>-401.6875</v>
      </c>
    </row>
    <row r="271" spans="1:18" x14ac:dyDescent="0.25">
      <c r="A271" t="s">
        <v>283</v>
      </c>
      <c r="B271" s="1">
        <v>1946.5510200000001</v>
      </c>
      <c r="C271" s="1">
        <v>683.05380649999995</v>
      </c>
      <c r="D271" s="1">
        <v>0.95918367299999996</v>
      </c>
      <c r="E271" s="1">
        <v>0.19991494800000001</v>
      </c>
      <c r="F271" s="1">
        <v>138</v>
      </c>
      <c r="G271" s="1">
        <v>2001.1702130000001</v>
      </c>
      <c r="H271" s="1">
        <v>665.25373779999995</v>
      </c>
      <c r="I271" s="1">
        <v>0.95744680900000001</v>
      </c>
      <c r="J271" s="1">
        <v>0.204029709</v>
      </c>
      <c r="K271" s="1">
        <f>(B271+Table810[[#This Row],[grt]])/2</f>
        <v>1973.8606165000001</v>
      </c>
      <c r="L271" s="1">
        <f>(Table810[[#This Row],[prtsd]]+Table810[[#This Row],[grtsd]])/2</f>
        <v>674.1537721499999</v>
      </c>
      <c r="M271" s="1">
        <f>(Table810[[#This Row],[pacc]]+Table810[[#This Row],[gacc]])/2</f>
        <v>0.95831524099999998</v>
      </c>
      <c r="N271" s="1">
        <f>(Table810[[#This Row],[paccsd]]+Table810[[#This Row],[gaccsd]])/2</f>
        <v>0.20197232850000002</v>
      </c>
      <c r="O271">
        <f>Table810[[#This Row],[mrt]]-(Table810[[#This Row],[macc]]*1000)</f>
        <v>1015.5453755000001</v>
      </c>
      <c r="P271" s="9">
        <f>(Table810[[#This Row],[prt]]-Table810[[#This Row],[grt]])</f>
        <v>-54.619192999999996</v>
      </c>
      <c r="Q271" s="8">
        <f>Table810[[#This Row],[pacc]]-Table810[[#This Row],[gacc]]</f>
        <v>1.7368639999999491E-3</v>
      </c>
      <c r="R271" s="8">
        <f>Table810[[#This Row],[rt_pairing_score]]-Table810[[#This Row],[acc_pairing_score]]</f>
        <v>-54.620929863999997</v>
      </c>
    </row>
    <row r="272" spans="1:18" x14ac:dyDescent="0.25">
      <c r="A272" t="s">
        <v>262</v>
      </c>
      <c r="B272" s="1">
        <v>1967.06</v>
      </c>
      <c r="C272" s="1">
        <v>583.62583800000004</v>
      </c>
      <c r="D272" s="1">
        <v>0.94</v>
      </c>
      <c r="E272" s="1">
        <v>0.23989793700000001</v>
      </c>
      <c r="F272" s="1">
        <v>69</v>
      </c>
      <c r="G272" s="1">
        <v>1957.6875</v>
      </c>
      <c r="H272" s="1">
        <v>578.01288939999995</v>
      </c>
      <c r="I272" s="1">
        <v>0.95833333300000001</v>
      </c>
      <c r="J272" s="1">
        <v>0.20194093699999999</v>
      </c>
      <c r="K272" s="1">
        <f>(B272+Table810[[#This Row],[grt]])/2</f>
        <v>1962.37375</v>
      </c>
      <c r="L272" s="1">
        <f>(Table810[[#This Row],[prtsd]]+Table810[[#This Row],[grtsd]])/2</f>
        <v>580.81936369999994</v>
      </c>
      <c r="M272" s="1">
        <f>(Table810[[#This Row],[pacc]]+Table810[[#This Row],[gacc]])/2</f>
        <v>0.94916666650000003</v>
      </c>
      <c r="N272" s="1">
        <f>(Table810[[#This Row],[paccsd]]+Table810[[#This Row],[gaccsd]])/2</f>
        <v>0.220919437</v>
      </c>
      <c r="O272">
        <f>Table810[[#This Row],[mrt]]-(Table810[[#This Row],[macc]]*1000)</f>
        <v>1013.2070835</v>
      </c>
      <c r="P272" s="9">
        <f>(Table810[[#This Row],[prt]]-Table810[[#This Row],[grt]])</f>
        <v>9.3724999999999454</v>
      </c>
      <c r="Q272" s="8">
        <f>Table810[[#This Row],[pacc]]-Table810[[#This Row],[gacc]]</f>
        <v>-1.8333333000000063E-2</v>
      </c>
      <c r="R272" s="8">
        <f>Table810[[#This Row],[rt_pairing_score]]-Table810[[#This Row],[acc_pairing_score]]</f>
        <v>9.3908333329999447</v>
      </c>
    </row>
    <row r="273" spans="1:18" x14ac:dyDescent="0.25">
      <c r="A273" t="s">
        <v>244</v>
      </c>
      <c r="B273" s="1">
        <v>1821.291667</v>
      </c>
      <c r="C273" s="1">
        <v>670.12589979999996</v>
      </c>
      <c r="D273" s="1">
        <v>0.93877551000000004</v>
      </c>
      <c r="E273" s="1">
        <v>0.24222607099999999</v>
      </c>
      <c r="F273" s="1">
        <v>195</v>
      </c>
      <c r="G273" s="1">
        <v>2076.8936170000002</v>
      </c>
      <c r="H273" s="1">
        <v>650.57099449999998</v>
      </c>
      <c r="I273" s="1">
        <v>0.93617021300000003</v>
      </c>
      <c r="J273" s="1">
        <v>0.24709224799999999</v>
      </c>
      <c r="K273" s="1">
        <f>(B273+Table810[[#This Row],[grt]])/2</f>
        <v>1949.0926420000001</v>
      </c>
      <c r="L273" s="1">
        <f>(Table810[[#This Row],[prtsd]]+Table810[[#This Row],[grtsd]])/2</f>
        <v>660.34844714999997</v>
      </c>
      <c r="M273" s="1">
        <f>(Table810[[#This Row],[pacc]]+Table810[[#This Row],[gacc]])/2</f>
        <v>0.93747286150000009</v>
      </c>
      <c r="N273" s="1">
        <f>(Table810[[#This Row],[paccsd]]+Table810[[#This Row],[gaccsd]])/2</f>
        <v>0.2446591595</v>
      </c>
      <c r="O273">
        <f>Table810[[#This Row],[mrt]]-(Table810[[#This Row],[macc]]*1000)</f>
        <v>1011.6197804999999</v>
      </c>
      <c r="P273" s="9">
        <f>(Table810[[#This Row],[prt]]-Table810[[#This Row],[grt]])</f>
        <v>-255.60195000000022</v>
      </c>
      <c r="Q273" s="8">
        <f>Table810[[#This Row],[pacc]]-Table810[[#This Row],[gacc]]</f>
        <v>2.6052970000000064E-3</v>
      </c>
      <c r="R273" s="8">
        <f>Table810[[#This Row],[rt_pairing_score]]-Table810[[#This Row],[acc_pairing_score]]</f>
        <v>-255.60455529700022</v>
      </c>
    </row>
    <row r="274" spans="1:18" x14ac:dyDescent="0.25">
      <c r="A274" t="s">
        <v>229</v>
      </c>
      <c r="B274" s="1">
        <v>1916.78</v>
      </c>
      <c r="C274" s="1">
        <v>655.43079120000004</v>
      </c>
      <c r="D274" s="1">
        <v>0.92</v>
      </c>
      <c r="E274" s="1">
        <v>0.27404751599999999</v>
      </c>
      <c r="F274" s="1">
        <v>70</v>
      </c>
      <c r="G274" s="1">
        <v>1962.645833</v>
      </c>
      <c r="H274" s="1">
        <v>645.08599100000004</v>
      </c>
      <c r="I274" s="1">
        <v>0.9375</v>
      </c>
      <c r="J274" s="1">
        <v>0.24462302699999999</v>
      </c>
      <c r="K274" s="1">
        <f>(B274+Table810[[#This Row],[grt]])/2</f>
        <v>1939.7129165000001</v>
      </c>
      <c r="L274" s="1">
        <f>(Table810[[#This Row],[prtsd]]+Table810[[#This Row],[grtsd]])/2</f>
        <v>650.25839110000004</v>
      </c>
      <c r="M274" s="1">
        <f>(Table810[[#This Row],[pacc]]+Table810[[#This Row],[gacc]])/2</f>
        <v>0.92874999999999996</v>
      </c>
      <c r="N274" s="1">
        <f>(Table810[[#This Row],[paccsd]]+Table810[[#This Row],[gaccsd]])/2</f>
        <v>0.25933527150000002</v>
      </c>
      <c r="O274">
        <f>Table810[[#This Row],[mrt]]-(Table810[[#This Row],[macc]]*1000)</f>
        <v>1010.9629165000001</v>
      </c>
      <c r="P274" s="9">
        <f>(Table810[[#This Row],[prt]]-Table810[[#This Row],[grt]])</f>
        <v>-45.865833000000066</v>
      </c>
      <c r="Q274" s="8">
        <f>Table810[[#This Row],[pacc]]-Table810[[#This Row],[gacc]]</f>
        <v>-1.749999999999996E-2</v>
      </c>
      <c r="R274" s="8">
        <f>Table810[[#This Row],[rt_pairing_score]]-Table810[[#This Row],[acc_pairing_score]]</f>
        <v>-45.848333000000068</v>
      </c>
    </row>
    <row r="275" spans="1:18" x14ac:dyDescent="0.25">
      <c r="A275" t="s">
        <v>228</v>
      </c>
      <c r="B275" s="1">
        <v>1965.469388</v>
      </c>
      <c r="C275" s="1">
        <v>563.62173710000002</v>
      </c>
      <c r="D275" s="1">
        <v>0.92</v>
      </c>
      <c r="E275" s="1">
        <v>0.27404751599999999</v>
      </c>
      <c r="F275" s="1">
        <v>454</v>
      </c>
      <c r="G275" s="1">
        <v>1954.166667</v>
      </c>
      <c r="H275" s="1">
        <v>565.15576209999995</v>
      </c>
      <c r="I275" s="1">
        <v>0.97916666699999999</v>
      </c>
      <c r="J275" s="1">
        <v>0.144337567</v>
      </c>
      <c r="K275" s="1">
        <f>(B275+Table810[[#This Row],[grt]])/2</f>
        <v>1959.8180275</v>
      </c>
      <c r="L275" s="1">
        <f>(Table810[[#This Row],[prtsd]]+Table810[[#This Row],[grtsd]])/2</f>
        <v>564.38874959999998</v>
      </c>
      <c r="M275" s="1">
        <f>(Table810[[#This Row],[pacc]]+Table810[[#This Row],[gacc]])/2</f>
        <v>0.94958333350000002</v>
      </c>
      <c r="N275" s="1">
        <f>(Table810[[#This Row],[paccsd]]+Table810[[#This Row],[gaccsd]])/2</f>
        <v>0.2091925415</v>
      </c>
      <c r="O275">
        <f>Table810[[#This Row],[mrt]]-(Table810[[#This Row],[macc]]*1000)</f>
        <v>1010.234694</v>
      </c>
      <c r="P275" s="9">
        <f>(Table810[[#This Row],[prt]]-Table810[[#This Row],[grt]])</f>
        <v>11.30272100000002</v>
      </c>
      <c r="Q275" s="8">
        <f>Table810[[#This Row],[pacc]]-Table810[[#This Row],[gacc]]</f>
        <v>-5.9166666999999951E-2</v>
      </c>
      <c r="R275" s="8">
        <f>Table810[[#This Row],[rt_pairing_score]]-Table810[[#This Row],[acc_pairing_score]]</f>
        <v>11.361887667000019</v>
      </c>
    </row>
    <row r="276" spans="1:18" x14ac:dyDescent="0.25">
      <c r="A276" t="s">
        <v>393</v>
      </c>
      <c r="B276" s="1">
        <v>1994.06</v>
      </c>
      <c r="C276" s="1">
        <v>839.82861249999996</v>
      </c>
      <c r="D276" s="1">
        <v>1</v>
      </c>
      <c r="E276" s="1">
        <v>0</v>
      </c>
      <c r="F276" s="1">
        <v>299</v>
      </c>
      <c r="G276" s="1">
        <v>1982.145833</v>
      </c>
      <c r="H276" s="1">
        <v>844.24250300000006</v>
      </c>
      <c r="I276" s="1">
        <v>0.95833333300000001</v>
      </c>
      <c r="J276" s="1">
        <v>0.20194093699999999</v>
      </c>
      <c r="K276" s="1">
        <f>(B276+Table810[[#This Row],[grt]])/2</f>
        <v>1988.1029165</v>
      </c>
      <c r="L276" s="1">
        <f>(Table810[[#This Row],[prtsd]]+Table810[[#This Row],[grtsd]])/2</f>
        <v>842.03555774999995</v>
      </c>
      <c r="M276" s="1">
        <f>(Table810[[#This Row],[pacc]]+Table810[[#This Row],[gacc]])/2</f>
        <v>0.97916666650000006</v>
      </c>
      <c r="N276" s="1">
        <f>(Table810[[#This Row],[paccsd]]+Table810[[#This Row],[gaccsd]])/2</f>
        <v>0.10097046849999999</v>
      </c>
      <c r="O276">
        <f>Table810[[#This Row],[mrt]]-(Table810[[#This Row],[macc]]*1000)</f>
        <v>1008.93625</v>
      </c>
      <c r="P276" s="9">
        <f>(Table810[[#This Row],[prt]]-Table810[[#This Row],[grt]])</f>
        <v>11.914166999999907</v>
      </c>
      <c r="Q276" s="8">
        <f>Table810[[#This Row],[pacc]]-Table810[[#This Row],[gacc]]</f>
        <v>4.1666666999999991E-2</v>
      </c>
      <c r="R276" s="8">
        <f>Table810[[#This Row],[rt_pairing_score]]-Table810[[#This Row],[acc_pairing_score]]</f>
        <v>11.872500332999907</v>
      </c>
    </row>
    <row r="277" spans="1:18" x14ac:dyDescent="0.25">
      <c r="A277" t="s">
        <v>401</v>
      </c>
      <c r="B277" s="1">
        <v>1800.9795919999999</v>
      </c>
      <c r="C277" s="1">
        <v>663.9333077</v>
      </c>
      <c r="D277" s="1">
        <v>1</v>
      </c>
      <c r="E277" s="1">
        <v>0</v>
      </c>
      <c r="F277" s="1">
        <v>95</v>
      </c>
      <c r="G277" s="1">
        <v>2129.148936</v>
      </c>
      <c r="H277" s="1">
        <v>640.48436079999999</v>
      </c>
      <c r="I277" s="1">
        <v>0.91666666699999999</v>
      </c>
      <c r="J277" s="1">
        <v>0.27931019400000001</v>
      </c>
      <c r="K277" s="1">
        <f>(B277+Table810[[#This Row],[grt]])/2</f>
        <v>1965.0642640000001</v>
      </c>
      <c r="L277" s="1">
        <f>(Table810[[#This Row],[prtsd]]+Table810[[#This Row],[grtsd]])/2</f>
        <v>652.20883425</v>
      </c>
      <c r="M277" s="1">
        <f>(Table810[[#This Row],[pacc]]+Table810[[#This Row],[gacc]])/2</f>
        <v>0.95833333349999994</v>
      </c>
      <c r="N277" s="1">
        <f>(Table810[[#This Row],[paccsd]]+Table810[[#This Row],[gaccsd]])/2</f>
        <v>0.13965509700000001</v>
      </c>
      <c r="O277">
        <f>Table810[[#This Row],[mrt]]-(Table810[[#This Row],[macc]]*1000)</f>
        <v>1006.7309305000001</v>
      </c>
      <c r="P277" s="9">
        <f>(Table810[[#This Row],[prt]]-Table810[[#This Row],[grt]])</f>
        <v>-328.16934400000014</v>
      </c>
      <c r="Q277" s="8">
        <f>Table810[[#This Row],[pacc]]-Table810[[#This Row],[gacc]]</f>
        <v>8.3333333000000009E-2</v>
      </c>
      <c r="R277" s="8">
        <f>Table810[[#This Row],[rt_pairing_score]]-Table810[[#This Row],[acc_pairing_score]]</f>
        <v>-328.25267733300012</v>
      </c>
    </row>
    <row r="278" spans="1:18" x14ac:dyDescent="0.25">
      <c r="A278" t="s">
        <v>124</v>
      </c>
      <c r="B278" s="1">
        <v>1921.7021279999999</v>
      </c>
      <c r="C278" s="1">
        <v>677.15334189999999</v>
      </c>
      <c r="D278" s="1">
        <v>0.836734694</v>
      </c>
      <c r="E278" s="1">
        <v>0.37343778900000002</v>
      </c>
      <c r="F278" s="1">
        <v>53</v>
      </c>
      <c r="G278" s="1">
        <v>1903.354167</v>
      </c>
      <c r="H278" s="1">
        <v>670.75833520000003</v>
      </c>
      <c r="I278" s="1">
        <v>0.97916666699999999</v>
      </c>
      <c r="J278" s="1">
        <v>0.144337567</v>
      </c>
      <c r="K278" s="1">
        <f>(B278+Table810[[#This Row],[grt]])/2</f>
        <v>1912.5281474999999</v>
      </c>
      <c r="L278" s="1">
        <f>(Table810[[#This Row],[prtsd]]+Table810[[#This Row],[grtsd]])/2</f>
        <v>673.95583854999995</v>
      </c>
      <c r="M278" s="1">
        <f>(Table810[[#This Row],[pacc]]+Table810[[#This Row],[gacc]])/2</f>
        <v>0.90795068049999994</v>
      </c>
      <c r="N278" s="1">
        <f>(Table810[[#This Row],[paccsd]]+Table810[[#This Row],[gaccsd]])/2</f>
        <v>0.25888767800000001</v>
      </c>
      <c r="O278">
        <f>Table810[[#This Row],[mrt]]-(Table810[[#This Row],[macc]]*1000)</f>
        <v>1004.577467</v>
      </c>
      <c r="P278" s="9">
        <f>(Table810[[#This Row],[prt]]-Table810[[#This Row],[grt]])</f>
        <v>18.347960999999941</v>
      </c>
      <c r="Q278" s="8">
        <f>Table810[[#This Row],[pacc]]-Table810[[#This Row],[gacc]]</f>
        <v>-0.14243197299999999</v>
      </c>
      <c r="R278" s="8">
        <f>Table810[[#This Row],[rt_pairing_score]]-Table810[[#This Row],[acc_pairing_score]]</f>
        <v>18.490392972999942</v>
      </c>
    </row>
    <row r="279" spans="1:18" x14ac:dyDescent="0.25">
      <c r="A279" t="s">
        <v>321</v>
      </c>
      <c r="B279" s="1">
        <v>1796.1</v>
      </c>
      <c r="C279" s="1">
        <v>659.55059679999999</v>
      </c>
      <c r="D279" s="1">
        <v>0.96</v>
      </c>
      <c r="E279" s="1">
        <v>0.197948664</v>
      </c>
      <c r="F279" s="1">
        <v>234</v>
      </c>
      <c r="G279" s="1">
        <v>2086.979167</v>
      </c>
      <c r="H279" s="1">
        <v>623.68358350000005</v>
      </c>
      <c r="I279" s="1">
        <v>0.91666666699999999</v>
      </c>
      <c r="J279" s="1">
        <v>0.27931019400000001</v>
      </c>
      <c r="K279" s="1">
        <f>(B279+Table810[[#This Row],[grt]])/2</f>
        <v>1941.5395834999999</v>
      </c>
      <c r="L279" s="1">
        <f>(Table810[[#This Row],[prtsd]]+Table810[[#This Row],[grtsd]])/2</f>
        <v>641.61709014999997</v>
      </c>
      <c r="M279" s="1">
        <f>(Table810[[#This Row],[pacc]]+Table810[[#This Row],[gacc]])/2</f>
        <v>0.93833333349999992</v>
      </c>
      <c r="N279" s="1">
        <f>(Table810[[#This Row],[paccsd]]+Table810[[#This Row],[gaccsd]])/2</f>
        <v>0.238629429</v>
      </c>
      <c r="O279">
        <f>Table810[[#This Row],[mrt]]-(Table810[[#This Row],[macc]]*1000)</f>
        <v>1003.2062500000001</v>
      </c>
      <c r="P279" s="9">
        <f>(Table810[[#This Row],[prt]]-Table810[[#This Row],[grt]])</f>
        <v>-290.87916700000005</v>
      </c>
      <c r="Q279" s="8">
        <f>Table810[[#This Row],[pacc]]-Table810[[#This Row],[gacc]]</f>
        <v>4.3333332999999974E-2</v>
      </c>
      <c r="R279" s="8">
        <f>Table810[[#This Row],[rt_pairing_score]]-Table810[[#This Row],[acc_pairing_score]]</f>
        <v>-290.92250033300007</v>
      </c>
    </row>
    <row r="280" spans="1:18" x14ac:dyDescent="0.25">
      <c r="A280" t="s">
        <v>84</v>
      </c>
      <c r="B280" s="1">
        <v>1881.125</v>
      </c>
      <c r="C280" s="1">
        <v>723.88525079999999</v>
      </c>
      <c r="D280" s="1">
        <v>0.77551020400000004</v>
      </c>
      <c r="E280" s="1">
        <v>0.42156979100000003</v>
      </c>
      <c r="F280" s="1">
        <v>102</v>
      </c>
      <c r="G280" s="1">
        <v>1857.468085</v>
      </c>
      <c r="H280" s="1">
        <v>711.80419419999998</v>
      </c>
      <c r="I280" s="1">
        <v>0.95744680900000001</v>
      </c>
      <c r="J280" s="1">
        <v>0.204029709</v>
      </c>
      <c r="K280" s="1">
        <f>(B280+Table810[[#This Row],[grt]])/2</f>
        <v>1869.2965425</v>
      </c>
      <c r="L280" s="1">
        <f>(Table810[[#This Row],[prtsd]]+Table810[[#This Row],[grtsd]])/2</f>
        <v>717.84472249999999</v>
      </c>
      <c r="M280" s="1">
        <f>(Table810[[#This Row],[pacc]]+Table810[[#This Row],[gacc]])/2</f>
        <v>0.86647850650000002</v>
      </c>
      <c r="N280" s="1">
        <f>(Table810[[#This Row],[paccsd]]+Table810[[#This Row],[gaccsd]])/2</f>
        <v>0.31279975000000004</v>
      </c>
      <c r="O280">
        <f>Table810[[#This Row],[mrt]]-(Table810[[#This Row],[macc]]*1000)</f>
        <v>1002.818036</v>
      </c>
      <c r="P280" s="9">
        <f>(Table810[[#This Row],[prt]]-Table810[[#This Row],[grt]])</f>
        <v>23.656915000000026</v>
      </c>
      <c r="Q280" s="8">
        <f>Table810[[#This Row],[pacc]]-Table810[[#This Row],[gacc]]</f>
        <v>-0.18193660499999997</v>
      </c>
      <c r="R280" s="8">
        <f>Table810[[#This Row],[rt_pairing_score]]-Table810[[#This Row],[acc_pairing_score]]</f>
        <v>23.838851605000027</v>
      </c>
    </row>
    <row r="281" spans="1:18" x14ac:dyDescent="0.25">
      <c r="A281" t="s">
        <v>360</v>
      </c>
      <c r="B281" s="1">
        <v>1655.693878</v>
      </c>
      <c r="C281" s="1">
        <v>757.62876249999999</v>
      </c>
      <c r="D281" s="1">
        <v>0.98</v>
      </c>
      <c r="E281" s="1">
        <v>0.141421356</v>
      </c>
      <c r="F281" s="1">
        <v>431</v>
      </c>
      <c r="G281" s="1">
        <v>2216.531915</v>
      </c>
      <c r="H281" s="1">
        <v>676.58721119999996</v>
      </c>
      <c r="I281" s="1">
        <v>0.89361702099999996</v>
      </c>
      <c r="J281" s="1">
        <v>0.31166052799999999</v>
      </c>
      <c r="K281" s="1">
        <f>(B281+Table810[[#This Row],[grt]])/2</f>
        <v>1936.1128965</v>
      </c>
      <c r="L281" s="1">
        <f>(Table810[[#This Row],[prtsd]]+Table810[[#This Row],[grtsd]])/2</f>
        <v>717.10798684999997</v>
      </c>
      <c r="M281" s="1">
        <f>(Table810[[#This Row],[pacc]]+Table810[[#This Row],[gacc]])/2</f>
        <v>0.93680851049999991</v>
      </c>
      <c r="N281" s="1">
        <f>(Table810[[#This Row],[paccsd]]+Table810[[#This Row],[gaccsd]])/2</f>
        <v>0.226540942</v>
      </c>
      <c r="O281">
        <f>Table810[[#This Row],[mrt]]-(Table810[[#This Row],[macc]]*1000)</f>
        <v>999.30438600000014</v>
      </c>
      <c r="P281" s="9">
        <f>(Table810[[#This Row],[prt]]-Table810[[#This Row],[grt]])</f>
        <v>-560.83803699999999</v>
      </c>
      <c r="Q281" s="8">
        <f>Table810[[#This Row],[pacc]]-Table810[[#This Row],[gacc]]</f>
        <v>8.6382979000000026E-2</v>
      </c>
      <c r="R281" s="8">
        <f>Table810[[#This Row],[rt_pairing_score]]-Table810[[#This Row],[acc_pairing_score]]</f>
        <v>-560.92441997899994</v>
      </c>
    </row>
    <row r="282" spans="1:18" x14ac:dyDescent="0.25">
      <c r="A282" t="s">
        <v>149</v>
      </c>
      <c r="B282" s="1">
        <v>1850</v>
      </c>
      <c r="C282" s="1">
        <v>591.42282379999995</v>
      </c>
      <c r="D282" s="1">
        <v>0.87755101999999996</v>
      </c>
      <c r="E282" s="1">
        <v>0.33120066100000001</v>
      </c>
      <c r="F282" s="1">
        <v>91</v>
      </c>
      <c r="G282" s="1">
        <v>1854.1063830000001</v>
      </c>
      <c r="H282" s="1">
        <v>589.99654510000005</v>
      </c>
      <c r="I282" s="1">
        <v>0.85416666699999999</v>
      </c>
      <c r="J282" s="1">
        <v>0.35667395800000001</v>
      </c>
      <c r="K282" s="1">
        <f>(B282+Table810[[#This Row],[grt]])/2</f>
        <v>1852.0531915000001</v>
      </c>
      <c r="L282" s="1">
        <f>(Table810[[#This Row],[prtsd]]+Table810[[#This Row],[grtsd]])/2</f>
        <v>590.70968444999994</v>
      </c>
      <c r="M282" s="1">
        <f>(Table810[[#This Row],[pacc]]+Table810[[#This Row],[gacc]])/2</f>
        <v>0.86585884349999998</v>
      </c>
      <c r="N282" s="1">
        <f>(Table810[[#This Row],[paccsd]]+Table810[[#This Row],[gaccsd]])/2</f>
        <v>0.34393730950000001</v>
      </c>
      <c r="O282">
        <f>Table810[[#This Row],[mrt]]-(Table810[[#This Row],[macc]]*1000)</f>
        <v>986.19434800000022</v>
      </c>
      <c r="P282" s="9">
        <f>(Table810[[#This Row],[prt]]-Table810[[#This Row],[grt]])</f>
        <v>-4.1063830000000507</v>
      </c>
      <c r="Q282" s="8">
        <f>Table810[[#This Row],[pacc]]-Table810[[#This Row],[gacc]]</f>
        <v>2.3384352999999969E-2</v>
      </c>
      <c r="R282" s="8">
        <f>Table810[[#This Row],[rt_pairing_score]]-Table810[[#This Row],[acc_pairing_score]]</f>
        <v>-4.1297673530000507</v>
      </c>
    </row>
    <row r="283" spans="1:18" x14ac:dyDescent="0.25">
      <c r="A283" t="s">
        <v>166</v>
      </c>
      <c r="B283" s="1">
        <v>1926.916667</v>
      </c>
      <c r="C283" s="1">
        <v>539.72277489999999</v>
      </c>
      <c r="D283" s="1">
        <v>0.89583333300000001</v>
      </c>
      <c r="E283" s="1">
        <v>0.30870927799999998</v>
      </c>
      <c r="F283" s="1">
        <v>496</v>
      </c>
      <c r="G283" s="1">
        <v>1936.2127660000001</v>
      </c>
      <c r="H283" s="1">
        <v>534.63595640000005</v>
      </c>
      <c r="I283" s="1">
        <v>1</v>
      </c>
      <c r="J283" s="1">
        <v>0</v>
      </c>
      <c r="K283" s="1">
        <f>(B283+Table810[[#This Row],[grt]])/2</f>
        <v>1931.5647165</v>
      </c>
      <c r="L283" s="1">
        <f>(Table810[[#This Row],[prtsd]]+Table810[[#This Row],[grtsd]])/2</f>
        <v>537.17936565000002</v>
      </c>
      <c r="M283" s="1">
        <f>(Table810[[#This Row],[pacc]]+Table810[[#This Row],[gacc]])/2</f>
        <v>0.94791666650000006</v>
      </c>
      <c r="N283" s="1">
        <f>(Table810[[#This Row],[paccsd]]+Table810[[#This Row],[gaccsd]])/2</f>
        <v>0.15435463899999999</v>
      </c>
      <c r="O283">
        <f>Table810[[#This Row],[mrt]]-(Table810[[#This Row],[macc]]*1000)</f>
        <v>983.64805000000001</v>
      </c>
      <c r="P283" s="9">
        <f>(Table810[[#This Row],[prt]]-Table810[[#This Row],[grt]])</f>
        <v>-9.2960990000001402</v>
      </c>
      <c r="Q283" s="8">
        <f>Table810[[#This Row],[pacc]]-Table810[[#This Row],[gacc]]</f>
        <v>-0.10416666699999999</v>
      </c>
      <c r="R283" s="8">
        <f>Table810[[#This Row],[rt_pairing_score]]-Table810[[#This Row],[acc_pairing_score]]</f>
        <v>-9.1919323330001408</v>
      </c>
    </row>
    <row r="284" spans="1:18" x14ac:dyDescent="0.25">
      <c r="A284" t="s">
        <v>269</v>
      </c>
      <c r="B284" s="1">
        <v>1844.5918369999999</v>
      </c>
      <c r="C284" s="1">
        <v>669.16608299999996</v>
      </c>
      <c r="D284" s="1">
        <v>0.94</v>
      </c>
      <c r="E284" s="1">
        <v>0.23989793700000001</v>
      </c>
      <c r="F284" s="1">
        <v>238</v>
      </c>
      <c r="G284" s="1">
        <v>2040.851064</v>
      </c>
      <c r="H284" s="1">
        <v>654.03772590000005</v>
      </c>
      <c r="I284" s="1">
        <v>0.97872340400000002</v>
      </c>
      <c r="J284" s="1">
        <v>0.145864991</v>
      </c>
      <c r="K284" s="1">
        <f>(B284+Table810[[#This Row],[grt]])/2</f>
        <v>1942.7214504999999</v>
      </c>
      <c r="L284" s="1">
        <f>(Table810[[#This Row],[prtsd]]+Table810[[#This Row],[grtsd]])/2</f>
        <v>661.60190445000001</v>
      </c>
      <c r="M284" s="1">
        <f>(Table810[[#This Row],[pacc]]+Table810[[#This Row],[gacc]])/2</f>
        <v>0.95936170200000004</v>
      </c>
      <c r="N284" s="1">
        <f>(Table810[[#This Row],[paccsd]]+Table810[[#This Row],[gaccsd]])/2</f>
        <v>0.192881464</v>
      </c>
      <c r="O284">
        <f>Table810[[#This Row],[mrt]]-(Table810[[#This Row],[macc]]*1000)</f>
        <v>983.35974849999991</v>
      </c>
      <c r="P284" s="9">
        <f>(Table810[[#This Row],[prt]]-Table810[[#This Row],[grt]])</f>
        <v>-196.25922700000001</v>
      </c>
      <c r="Q284" s="8">
        <f>Table810[[#This Row],[pacc]]-Table810[[#This Row],[gacc]]</f>
        <v>-3.8723404000000072E-2</v>
      </c>
      <c r="R284" s="8">
        <f>Table810[[#This Row],[rt_pairing_score]]-Table810[[#This Row],[acc_pairing_score]]</f>
        <v>-196.22050359600001</v>
      </c>
    </row>
    <row r="285" spans="1:18" x14ac:dyDescent="0.25">
      <c r="A285" t="s">
        <v>319</v>
      </c>
      <c r="B285" s="1">
        <v>1938.46</v>
      </c>
      <c r="C285" s="1">
        <v>624.51304159999995</v>
      </c>
      <c r="D285" s="1">
        <v>0.96</v>
      </c>
      <c r="E285" s="1">
        <v>0.197948664</v>
      </c>
      <c r="F285" s="1">
        <v>439</v>
      </c>
      <c r="G285" s="1">
        <v>1954.659574</v>
      </c>
      <c r="H285" s="1">
        <v>631.26030860000003</v>
      </c>
      <c r="I285" s="1">
        <v>0.97872340400000002</v>
      </c>
      <c r="J285" s="1">
        <v>0.145864991</v>
      </c>
      <c r="K285" s="1">
        <f>(B285+Table810[[#This Row],[grt]])/2</f>
        <v>1946.5597870000001</v>
      </c>
      <c r="L285" s="1">
        <f>(Table810[[#This Row],[prtsd]]+Table810[[#This Row],[grtsd]])/2</f>
        <v>627.88667510000005</v>
      </c>
      <c r="M285" s="1">
        <f>(Table810[[#This Row],[pacc]]+Table810[[#This Row],[gacc]])/2</f>
        <v>0.96936170200000005</v>
      </c>
      <c r="N285" s="1">
        <f>(Table810[[#This Row],[paccsd]]+Table810[[#This Row],[gaccsd]])/2</f>
        <v>0.1719068275</v>
      </c>
      <c r="O285">
        <f>Table810[[#This Row],[mrt]]-(Table810[[#This Row],[macc]]*1000)</f>
        <v>977.19808500000011</v>
      </c>
      <c r="P285" s="9">
        <f>(Table810[[#This Row],[prt]]-Table810[[#This Row],[grt]])</f>
        <v>-16.199573999999984</v>
      </c>
      <c r="Q285" s="8">
        <f>Table810[[#This Row],[pacc]]-Table810[[#This Row],[gacc]]</f>
        <v>-1.8723404000000055E-2</v>
      </c>
      <c r="R285" s="8">
        <f>Table810[[#This Row],[rt_pairing_score]]-Table810[[#This Row],[acc_pairing_score]]</f>
        <v>-16.180850595999985</v>
      </c>
    </row>
    <row r="286" spans="1:18" x14ac:dyDescent="0.25">
      <c r="A286" t="s">
        <v>388</v>
      </c>
      <c r="B286" s="1">
        <v>1762.612245</v>
      </c>
      <c r="C286" s="1">
        <v>650.96037439999998</v>
      </c>
      <c r="D286" s="1">
        <v>1</v>
      </c>
      <c r="E286" s="1">
        <v>0</v>
      </c>
      <c r="F286" s="1">
        <v>406</v>
      </c>
      <c r="G286" s="1">
        <v>2135.145833</v>
      </c>
      <c r="H286" s="1">
        <v>649.00398289999998</v>
      </c>
      <c r="I286" s="1">
        <v>0.95833333300000001</v>
      </c>
      <c r="J286" s="1">
        <v>0.20194093699999999</v>
      </c>
      <c r="K286" s="1">
        <f>(B286+Table810[[#This Row],[grt]])/2</f>
        <v>1948.8790389999999</v>
      </c>
      <c r="L286" s="1">
        <f>(Table810[[#This Row],[prtsd]]+Table810[[#This Row],[grtsd]])/2</f>
        <v>649.98217864999992</v>
      </c>
      <c r="M286" s="1">
        <f>(Table810[[#This Row],[pacc]]+Table810[[#This Row],[gacc]])/2</f>
        <v>0.97916666650000006</v>
      </c>
      <c r="N286" s="1">
        <f>(Table810[[#This Row],[paccsd]]+Table810[[#This Row],[gaccsd]])/2</f>
        <v>0.10097046849999999</v>
      </c>
      <c r="O286">
        <f>Table810[[#This Row],[mrt]]-(Table810[[#This Row],[macc]]*1000)</f>
        <v>969.7123724999999</v>
      </c>
      <c r="P286" s="9">
        <f>(Table810[[#This Row],[prt]]-Table810[[#This Row],[grt]])</f>
        <v>-372.53358800000001</v>
      </c>
      <c r="Q286" s="8">
        <f>Table810[[#This Row],[pacc]]-Table810[[#This Row],[gacc]]</f>
        <v>4.1666666999999991E-2</v>
      </c>
      <c r="R286" s="8">
        <f>Table810[[#This Row],[rt_pairing_score]]-Table810[[#This Row],[acc_pairing_score]]</f>
        <v>-372.57525466700002</v>
      </c>
    </row>
    <row r="287" spans="1:18" x14ac:dyDescent="0.25">
      <c r="A287" t="s">
        <v>220</v>
      </c>
      <c r="B287" s="1">
        <v>1886.9591840000001</v>
      </c>
      <c r="C287" s="1">
        <v>620.91367349999996</v>
      </c>
      <c r="D287" s="1">
        <v>0.92</v>
      </c>
      <c r="E287" s="1">
        <v>0.27404751599999999</v>
      </c>
      <c r="F287" s="1">
        <v>370</v>
      </c>
      <c r="G287" s="1">
        <v>1929.2978720000001</v>
      </c>
      <c r="H287" s="1">
        <v>609.31932500000005</v>
      </c>
      <c r="I287" s="1">
        <v>0.95744680900000001</v>
      </c>
      <c r="J287" s="1">
        <v>0.204029709</v>
      </c>
      <c r="K287" s="1">
        <f>(B287+Table810[[#This Row],[grt]])/2</f>
        <v>1908.1285280000002</v>
      </c>
      <c r="L287" s="1">
        <f>(Table810[[#This Row],[prtsd]]+Table810[[#This Row],[grtsd]])/2</f>
        <v>615.11649925000006</v>
      </c>
      <c r="M287" s="1">
        <f>(Table810[[#This Row],[pacc]]+Table810[[#This Row],[gacc]])/2</f>
        <v>0.93872340450000002</v>
      </c>
      <c r="N287" s="1">
        <f>(Table810[[#This Row],[paccsd]]+Table810[[#This Row],[gaccsd]])/2</f>
        <v>0.2390386125</v>
      </c>
      <c r="O287">
        <f>Table810[[#This Row],[mrt]]-(Table810[[#This Row],[macc]]*1000)</f>
        <v>969.40512350000017</v>
      </c>
      <c r="P287" s="9">
        <f>(Table810[[#This Row],[prt]]-Table810[[#This Row],[grt]])</f>
        <v>-42.338688000000047</v>
      </c>
      <c r="Q287" s="8">
        <f>Table810[[#This Row],[pacc]]-Table810[[#This Row],[gacc]]</f>
        <v>-3.744680899999997E-2</v>
      </c>
      <c r="R287" s="8">
        <f>Table810[[#This Row],[rt_pairing_score]]-Table810[[#This Row],[acc_pairing_score]]</f>
        <v>-42.301241191000045</v>
      </c>
    </row>
    <row r="288" spans="1:18" x14ac:dyDescent="0.25">
      <c r="A288" t="s">
        <v>239</v>
      </c>
      <c r="B288" s="1">
        <v>1911.5918369999999</v>
      </c>
      <c r="C288" s="1">
        <v>711.75917389999995</v>
      </c>
      <c r="D288" s="1">
        <v>0.93877551000000004</v>
      </c>
      <c r="E288" s="1">
        <v>0.24222607099999999</v>
      </c>
      <c r="F288" s="1">
        <v>304</v>
      </c>
      <c r="G288" s="1">
        <v>1898.979167</v>
      </c>
      <c r="H288" s="1">
        <v>695.89879089999999</v>
      </c>
      <c r="I288" s="1">
        <v>0.9375</v>
      </c>
      <c r="J288" s="1">
        <v>0.24462302699999999</v>
      </c>
      <c r="K288" s="1">
        <f>(B288+Table810[[#This Row],[grt]])/2</f>
        <v>1905.285502</v>
      </c>
      <c r="L288" s="1">
        <f>(Table810[[#This Row],[prtsd]]+Table810[[#This Row],[grtsd]])/2</f>
        <v>703.82898239999997</v>
      </c>
      <c r="M288" s="1">
        <f>(Table810[[#This Row],[pacc]]+Table810[[#This Row],[gacc]])/2</f>
        <v>0.93813775500000007</v>
      </c>
      <c r="N288" s="1">
        <f>(Table810[[#This Row],[paccsd]]+Table810[[#This Row],[gaccsd]])/2</f>
        <v>0.24342454899999999</v>
      </c>
      <c r="O288">
        <f>Table810[[#This Row],[mrt]]-(Table810[[#This Row],[macc]]*1000)</f>
        <v>967.14774699999987</v>
      </c>
      <c r="P288" s="9">
        <f>(Table810[[#This Row],[prt]]-Table810[[#This Row],[grt]])</f>
        <v>12.61266999999998</v>
      </c>
      <c r="Q288" s="8">
        <f>Table810[[#This Row],[pacc]]-Table810[[#This Row],[gacc]]</f>
        <v>1.2755100000000352E-3</v>
      </c>
      <c r="R288" s="8">
        <f>Table810[[#This Row],[rt_pairing_score]]-Table810[[#This Row],[acc_pairing_score]]</f>
        <v>12.611394489999981</v>
      </c>
    </row>
    <row r="289" spans="1:18" x14ac:dyDescent="0.25">
      <c r="A289" t="s">
        <v>347</v>
      </c>
      <c r="B289" s="1">
        <v>1866.6326529999999</v>
      </c>
      <c r="C289" s="1">
        <v>666.07212119999997</v>
      </c>
      <c r="D289" s="1">
        <v>0.97959183699999997</v>
      </c>
      <c r="E289" s="1">
        <v>0.14285714299999999</v>
      </c>
      <c r="F289" s="1">
        <v>114</v>
      </c>
      <c r="G289" s="1">
        <v>2003</v>
      </c>
      <c r="H289" s="1">
        <v>662.84403699999996</v>
      </c>
      <c r="I289" s="1">
        <v>0.95744680900000001</v>
      </c>
      <c r="J289" s="1">
        <v>0.204029709</v>
      </c>
      <c r="K289" s="1">
        <f>(B289+Table810[[#This Row],[grt]])/2</f>
        <v>1934.8163264999998</v>
      </c>
      <c r="L289" s="1">
        <f>(Table810[[#This Row],[prtsd]]+Table810[[#This Row],[grtsd]])/2</f>
        <v>664.45807909999996</v>
      </c>
      <c r="M289" s="1">
        <f>(Table810[[#This Row],[pacc]]+Table810[[#This Row],[gacc]])/2</f>
        <v>0.96851932299999999</v>
      </c>
      <c r="N289" s="1">
        <f>(Table810[[#This Row],[paccsd]]+Table810[[#This Row],[gaccsd]])/2</f>
        <v>0.17344342600000001</v>
      </c>
      <c r="O289">
        <f>Table810[[#This Row],[mrt]]-(Table810[[#This Row],[macc]]*1000)</f>
        <v>966.29700349999985</v>
      </c>
      <c r="P289" s="9">
        <f>(Table810[[#This Row],[prt]]-Table810[[#This Row],[grt]])</f>
        <v>-136.36734700000011</v>
      </c>
      <c r="Q289" s="8">
        <f>Table810[[#This Row],[pacc]]-Table810[[#This Row],[gacc]]</f>
        <v>2.2145027999999956E-2</v>
      </c>
      <c r="R289" s="8">
        <f>Table810[[#This Row],[rt_pairing_score]]-Table810[[#This Row],[acc_pairing_score]]</f>
        <v>-136.38949202800012</v>
      </c>
    </row>
    <row r="290" spans="1:18" x14ac:dyDescent="0.25">
      <c r="A290" t="s">
        <v>346</v>
      </c>
      <c r="B290" s="1">
        <v>1950.75</v>
      </c>
      <c r="C290" s="1">
        <v>584.53857049999999</v>
      </c>
      <c r="D290" s="1">
        <v>0.97959183699999997</v>
      </c>
      <c r="E290" s="1">
        <v>0.14285714299999999</v>
      </c>
      <c r="F290" s="1">
        <v>1</v>
      </c>
      <c r="G290" s="1">
        <v>1918.026316</v>
      </c>
      <c r="H290" s="1">
        <v>584.22554360000004</v>
      </c>
      <c r="I290" s="1">
        <v>0.97368421100000002</v>
      </c>
      <c r="J290" s="1">
        <v>0.162221421</v>
      </c>
      <c r="K290" s="1">
        <f>(B290+Table810[[#This Row],[grt]])/2</f>
        <v>1934.388158</v>
      </c>
      <c r="L290" s="1">
        <f>(Table810[[#This Row],[prtsd]]+Table810[[#This Row],[grtsd]])/2</f>
        <v>584.38205704999996</v>
      </c>
      <c r="M290" s="1">
        <f>(Table810[[#This Row],[pacc]]+Table810[[#This Row],[gacc]])/2</f>
        <v>0.97663802399999999</v>
      </c>
      <c r="N290" s="1">
        <f>(Table810[[#This Row],[paccsd]]+Table810[[#This Row],[gaccsd]])/2</f>
        <v>0.152539282</v>
      </c>
      <c r="O290">
        <f>Table810[[#This Row],[mrt]]-(Table810[[#This Row],[macc]]*1000)</f>
        <v>957.750134</v>
      </c>
      <c r="P290" s="9">
        <f>(Table810[[#This Row],[prt]]-Table810[[#This Row],[grt]])</f>
        <v>32.723684000000048</v>
      </c>
      <c r="Q290" s="8">
        <f>Table810[[#This Row],[pacc]]-Table810[[#This Row],[gacc]]</f>
        <v>5.9076259999999436E-3</v>
      </c>
      <c r="R290" s="8">
        <f>Table810[[#This Row],[rt_pairing_score]]-Table810[[#This Row],[acc_pairing_score]]</f>
        <v>32.717776374000046</v>
      </c>
    </row>
    <row r="291" spans="1:18" x14ac:dyDescent="0.25">
      <c r="A291" t="s">
        <v>403</v>
      </c>
      <c r="B291" s="1">
        <v>1868.32</v>
      </c>
      <c r="C291" s="1">
        <v>642.28814309999996</v>
      </c>
      <c r="D291" s="1">
        <v>1</v>
      </c>
      <c r="E291" s="1">
        <v>0</v>
      </c>
      <c r="F291" s="1">
        <v>209</v>
      </c>
      <c r="G291" s="1">
        <v>1872.5434780000001</v>
      </c>
      <c r="H291" s="1">
        <v>648.10515969999994</v>
      </c>
      <c r="I291" s="1">
        <v>0.83333333300000001</v>
      </c>
      <c r="J291" s="1">
        <v>0.37662178899999998</v>
      </c>
      <c r="K291" s="1">
        <f>(B291+Table810[[#This Row],[grt]])/2</f>
        <v>1870.4317390000001</v>
      </c>
      <c r="L291" s="1">
        <f>(Table810[[#This Row],[prtsd]]+Table810[[#This Row],[grtsd]])/2</f>
        <v>645.19665139999995</v>
      </c>
      <c r="M291" s="1">
        <f>(Table810[[#This Row],[pacc]]+Table810[[#This Row],[gacc]])/2</f>
        <v>0.91666666650000006</v>
      </c>
      <c r="N291" s="1">
        <f>(Table810[[#This Row],[paccsd]]+Table810[[#This Row],[gaccsd]])/2</f>
        <v>0.18831089449999999</v>
      </c>
      <c r="O291">
        <f>Table810[[#This Row],[mrt]]-(Table810[[#This Row],[macc]]*1000)</f>
        <v>953.76507250000009</v>
      </c>
      <c r="P291" s="9">
        <f>(Table810[[#This Row],[prt]]-Table810[[#This Row],[grt]])</f>
        <v>-4.2234780000001138</v>
      </c>
      <c r="Q291" s="8">
        <f>Table810[[#This Row],[pacc]]-Table810[[#This Row],[gacc]]</f>
        <v>0.16666666699999999</v>
      </c>
      <c r="R291" s="8">
        <f>Table810[[#This Row],[rt_pairing_score]]-Table810[[#This Row],[acc_pairing_score]]</f>
        <v>-4.3901446670001141</v>
      </c>
    </row>
    <row r="292" spans="1:18" x14ac:dyDescent="0.25">
      <c r="A292" t="s">
        <v>289</v>
      </c>
      <c r="B292" s="1">
        <v>1905.857143</v>
      </c>
      <c r="C292" s="1">
        <v>725.61430870000004</v>
      </c>
      <c r="D292" s="1">
        <v>0.95918367299999996</v>
      </c>
      <c r="E292" s="1">
        <v>0.19991494800000001</v>
      </c>
      <c r="F292" s="1">
        <v>393</v>
      </c>
      <c r="G292" s="1">
        <v>1896.4042549999999</v>
      </c>
      <c r="H292" s="1">
        <v>732.03758689999995</v>
      </c>
      <c r="I292" s="1">
        <v>0.93617021300000003</v>
      </c>
      <c r="J292" s="1">
        <v>0.24709224799999999</v>
      </c>
      <c r="K292" s="1">
        <f>(B292+Table810[[#This Row],[grt]])/2</f>
        <v>1901.1306989999998</v>
      </c>
      <c r="L292" s="1">
        <f>(Table810[[#This Row],[prtsd]]+Table810[[#This Row],[grtsd]])/2</f>
        <v>728.82594779999999</v>
      </c>
      <c r="M292" s="1">
        <f>(Table810[[#This Row],[pacc]]+Table810[[#This Row],[gacc]])/2</f>
        <v>0.94767694300000005</v>
      </c>
      <c r="N292" s="1">
        <f>(Table810[[#This Row],[paccsd]]+Table810[[#This Row],[gaccsd]])/2</f>
        <v>0.223503598</v>
      </c>
      <c r="O292">
        <f>Table810[[#This Row],[mrt]]-(Table810[[#This Row],[macc]]*1000)</f>
        <v>953.45375599999977</v>
      </c>
      <c r="P292" s="9">
        <f>(Table810[[#This Row],[prt]]-Table810[[#This Row],[grt]])</f>
        <v>9.4528880000000299</v>
      </c>
      <c r="Q292" s="8">
        <f>Table810[[#This Row],[pacc]]-Table810[[#This Row],[gacc]]</f>
        <v>2.301345999999993E-2</v>
      </c>
      <c r="R292" s="8">
        <f>Table810[[#This Row],[rt_pairing_score]]-Table810[[#This Row],[acc_pairing_score]]</f>
        <v>9.4298745400000303</v>
      </c>
    </row>
    <row r="293" spans="1:18" x14ac:dyDescent="0.25">
      <c r="A293" t="s">
        <v>370</v>
      </c>
      <c r="B293" s="1">
        <v>1628.62</v>
      </c>
      <c r="C293" s="1">
        <v>681.44117659999995</v>
      </c>
      <c r="D293" s="1">
        <v>0.98</v>
      </c>
      <c r="E293" s="1">
        <v>0.141421356</v>
      </c>
      <c r="F293" s="1">
        <v>320</v>
      </c>
      <c r="G293" s="1">
        <v>2140.75</v>
      </c>
      <c r="H293" s="1">
        <v>645.49085730000002</v>
      </c>
      <c r="I293" s="1">
        <v>0.89583333300000001</v>
      </c>
      <c r="J293" s="1">
        <v>0.30870927799999998</v>
      </c>
      <c r="K293" s="1">
        <f>(B293+Table810[[#This Row],[grt]])/2</f>
        <v>1884.6849999999999</v>
      </c>
      <c r="L293" s="1">
        <f>(Table810[[#This Row],[prtsd]]+Table810[[#This Row],[grtsd]])/2</f>
        <v>663.46601695000004</v>
      </c>
      <c r="M293" s="1">
        <f>(Table810[[#This Row],[pacc]]+Table810[[#This Row],[gacc]])/2</f>
        <v>0.93791666650000005</v>
      </c>
      <c r="N293" s="1">
        <f>(Table810[[#This Row],[paccsd]]+Table810[[#This Row],[gaccsd]])/2</f>
        <v>0.22506531699999999</v>
      </c>
      <c r="O293">
        <f>Table810[[#This Row],[mrt]]-(Table810[[#This Row],[macc]]*1000)</f>
        <v>946.76833349999993</v>
      </c>
      <c r="P293" s="9">
        <f>(Table810[[#This Row],[prt]]-Table810[[#This Row],[grt]])</f>
        <v>-512.13000000000011</v>
      </c>
      <c r="Q293" s="8">
        <f>Table810[[#This Row],[pacc]]-Table810[[#This Row],[gacc]]</f>
        <v>8.4166666999999973E-2</v>
      </c>
      <c r="R293" s="8">
        <f>Table810[[#This Row],[rt_pairing_score]]-Table810[[#This Row],[acc_pairing_score]]</f>
        <v>-512.21416666700009</v>
      </c>
    </row>
    <row r="294" spans="1:18" x14ac:dyDescent="0.25">
      <c r="A294" t="s">
        <v>237</v>
      </c>
      <c r="B294" s="1">
        <v>1905.541667</v>
      </c>
      <c r="C294" s="1">
        <v>776.27936839999995</v>
      </c>
      <c r="D294" s="1">
        <v>0.9375</v>
      </c>
      <c r="E294" s="1">
        <v>0.24462302699999999</v>
      </c>
      <c r="F294" s="1">
        <v>457</v>
      </c>
      <c r="G294" s="1">
        <v>1895.104167</v>
      </c>
      <c r="H294" s="1">
        <v>782.20920750000005</v>
      </c>
      <c r="I294" s="1">
        <v>0.97916666699999999</v>
      </c>
      <c r="J294" s="1">
        <v>0.144337567</v>
      </c>
      <c r="K294" s="1">
        <f>(B294+Table810[[#This Row],[grt]])/2</f>
        <v>1900.322917</v>
      </c>
      <c r="L294" s="1">
        <f>(Table810[[#This Row],[prtsd]]+Table810[[#This Row],[grtsd]])/2</f>
        <v>779.24428794999994</v>
      </c>
      <c r="M294" s="1">
        <f>(Table810[[#This Row],[pacc]]+Table810[[#This Row],[gacc]])/2</f>
        <v>0.95833333349999994</v>
      </c>
      <c r="N294" s="1">
        <f>(Table810[[#This Row],[paccsd]]+Table810[[#This Row],[gaccsd]])/2</f>
        <v>0.194480297</v>
      </c>
      <c r="O294">
        <f>Table810[[#This Row],[mrt]]-(Table810[[#This Row],[macc]]*1000)</f>
        <v>941.98958349999998</v>
      </c>
      <c r="P294" s="9">
        <f>(Table810[[#This Row],[prt]]-Table810[[#This Row],[grt]])</f>
        <v>10.4375</v>
      </c>
      <c r="Q294" s="8">
        <f>Table810[[#This Row],[pacc]]-Table810[[#This Row],[gacc]]</f>
        <v>-4.1666666999999991E-2</v>
      </c>
      <c r="R294" s="8">
        <f>Table810[[#This Row],[rt_pairing_score]]-Table810[[#This Row],[acc_pairing_score]]</f>
        <v>10.479166666999999</v>
      </c>
    </row>
    <row r="295" spans="1:18" x14ac:dyDescent="0.25">
      <c r="A295" t="s">
        <v>404</v>
      </c>
      <c r="B295" s="1">
        <v>1603.375</v>
      </c>
      <c r="C295" s="1">
        <v>679.08034259999999</v>
      </c>
      <c r="D295" s="1">
        <v>1</v>
      </c>
      <c r="E295" s="1">
        <v>0</v>
      </c>
      <c r="F295" s="1">
        <v>343</v>
      </c>
      <c r="G295" s="1">
        <v>2139.7021279999999</v>
      </c>
      <c r="H295" s="1">
        <v>640.71281350000004</v>
      </c>
      <c r="I295" s="1">
        <v>0.875</v>
      </c>
      <c r="J295" s="1">
        <v>0.33421868199999999</v>
      </c>
      <c r="K295" s="1">
        <f>(B295+Table810[[#This Row],[grt]])/2</f>
        <v>1871.538564</v>
      </c>
      <c r="L295" s="1">
        <f>(Table810[[#This Row],[prtsd]]+Table810[[#This Row],[grtsd]])/2</f>
        <v>659.89657805000002</v>
      </c>
      <c r="M295" s="1">
        <f>(Table810[[#This Row],[pacc]]+Table810[[#This Row],[gacc]])/2</f>
        <v>0.9375</v>
      </c>
      <c r="N295" s="1">
        <f>(Table810[[#This Row],[paccsd]]+Table810[[#This Row],[gaccsd]])/2</f>
        <v>0.16710934099999999</v>
      </c>
      <c r="O295">
        <f>Table810[[#This Row],[mrt]]-(Table810[[#This Row],[macc]]*1000)</f>
        <v>934.03856399999995</v>
      </c>
      <c r="P295" s="9">
        <f>(Table810[[#This Row],[prt]]-Table810[[#This Row],[grt]])</f>
        <v>-536.3271279999999</v>
      </c>
      <c r="Q295" s="8">
        <f>Table810[[#This Row],[pacc]]-Table810[[#This Row],[gacc]]</f>
        <v>0.125</v>
      </c>
      <c r="R295" s="8">
        <f>Table810[[#This Row],[rt_pairing_score]]-Table810[[#This Row],[acc_pairing_score]]</f>
        <v>-536.4521279999999</v>
      </c>
    </row>
    <row r="296" spans="1:18" x14ac:dyDescent="0.25">
      <c r="A296" t="s">
        <v>405</v>
      </c>
      <c r="B296" s="1">
        <v>1896.24</v>
      </c>
      <c r="C296" s="1">
        <v>648.01504009999996</v>
      </c>
      <c r="D296" s="1">
        <v>1</v>
      </c>
      <c r="E296" s="1">
        <v>0</v>
      </c>
      <c r="F296" s="1">
        <v>76</v>
      </c>
      <c r="G296" s="1">
        <v>1903.659574</v>
      </c>
      <c r="H296" s="1">
        <v>647.27012960000002</v>
      </c>
      <c r="I296" s="1">
        <v>0.93617021300000003</v>
      </c>
      <c r="J296" s="1">
        <v>0.24709224799999999</v>
      </c>
      <c r="K296" s="1">
        <f>(B296+Table810[[#This Row],[grt]])/2</f>
        <v>1899.949787</v>
      </c>
      <c r="L296" s="1">
        <f>(Table810[[#This Row],[prtsd]]+Table810[[#This Row],[grtsd]])/2</f>
        <v>647.64258485000005</v>
      </c>
      <c r="M296" s="1">
        <f>(Table810[[#This Row],[pacc]]+Table810[[#This Row],[gacc]])/2</f>
        <v>0.96808510650000001</v>
      </c>
      <c r="N296" s="1">
        <f>(Table810[[#This Row],[paccsd]]+Table810[[#This Row],[gaccsd]])/2</f>
        <v>0.12354612399999999</v>
      </c>
      <c r="O296">
        <f>Table810[[#This Row],[mrt]]-(Table810[[#This Row],[macc]]*1000)</f>
        <v>931.86468049999996</v>
      </c>
      <c r="P296" s="9">
        <f>(Table810[[#This Row],[prt]]-Table810[[#This Row],[grt]])</f>
        <v>-7.4195740000000114</v>
      </c>
      <c r="Q296" s="8">
        <f>Table810[[#This Row],[pacc]]-Table810[[#This Row],[gacc]]</f>
        <v>6.3829786999999971E-2</v>
      </c>
      <c r="R296" s="8">
        <f>Table810[[#This Row],[rt_pairing_score]]-Table810[[#This Row],[acc_pairing_score]]</f>
        <v>-7.483403787000011</v>
      </c>
    </row>
    <row r="297" spans="1:18" x14ac:dyDescent="0.25">
      <c r="A297" t="s">
        <v>242</v>
      </c>
      <c r="B297" s="1">
        <v>1872.583333</v>
      </c>
      <c r="C297" s="1">
        <v>511.42636720000002</v>
      </c>
      <c r="D297" s="1">
        <v>0.93877551000000004</v>
      </c>
      <c r="E297" s="1">
        <v>0.24222607099999999</v>
      </c>
      <c r="F297" s="1">
        <v>82</v>
      </c>
      <c r="G297" s="1">
        <v>1890.208333</v>
      </c>
      <c r="H297" s="1">
        <v>507.75990969999998</v>
      </c>
      <c r="I297" s="1">
        <v>0.97916666699999999</v>
      </c>
      <c r="J297" s="1">
        <v>0.144337567</v>
      </c>
      <c r="K297" s="1">
        <f>(B297+Table810[[#This Row],[grt]])/2</f>
        <v>1881.395833</v>
      </c>
      <c r="L297" s="1">
        <f>(Table810[[#This Row],[prtsd]]+Table810[[#This Row],[grtsd]])/2</f>
        <v>509.59313844999997</v>
      </c>
      <c r="M297" s="1">
        <f>(Table810[[#This Row],[pacc]]+Table810[[#This Row],[gacc]])/2</f>
        <v>0.95897108850000001</v>
      </c>
      <c r="N297" s="1">
        <f>(Table810[[#This Row],[paccsd]]+Table810[[#This Row],[gaccsd]])/2</f>
        <v>0.19328181899999999</v>
      </c>
      <c r="O297">
        <f>Table810[[#This Row],[mrt]]-(Table810[[#This Row],[macc]]*1000)</f>
        <v>922.42474449999997</v>
      </c>
      <c r="P297" s="9">
        <f>(Table810[[#This Row],[prt]]-Table810[[#This Row],[grt]])</f>
        <v>-17.625</v>
      </c>
      <c r="Q297" s="8">
        <f>Table810[[#This Row],[pacc]]-Table810[[#This Row],[gacc]]</f>
        <v>-4.0391156999999955E-2</v>
      </c>
      <c r="R297" s="8">
        <f>Table810[[#This Row],[rt_pairing_score]]-Table810[[#This Row],[acc_pairing_score]]</f>
        <v>-17.584608843000002</v>
      </c>
    </row>
    <row r="298" spans="1:18" x14ac:dyDescent="0.25">
      <c r="A298" t="s">
        <v>253</v>
      </c>
      <c r="B298" s="1">
        <v>1876.3673470000001</v>
      </c>
      <c r="C298" s="1">
        <v>620.21671930000002</v>
      </c>
      <c r="D298" s="1">
        <v>0.94</v>
      </c>
      <c r="E298" s="1">
        <v>0.23989793700000001</v>
      </c>
      <c r="F298" s="1">
        <v>108</v>
      </c>
      <c r="G298" s="1">
        <v>1865.340426</v>
      </c>
      <c r="H298" s="1">
        <v>612.6755038</v>
      </c>
      <c r="I298" s="1">
        <v>0.95833333300000001</v>
      </c>
      <c r="J298" s="1">
        <v>0.20194093699999999</v>
      </c>
      <c r="K298" s="1">
        <f>(B298+Table810[[#This Row],[grt]])/2</f>
        <v>1870.8538865</v>
      </c>
      <c r="L298" s="1">
        <f>(Table810[[#This Row],[prtsd]]+Table810[[#This Row],[grtsd]])/2</f>
        <v>616.44611155000007</v>
      </c>
      <c r="M298" s="1">
        <f>(Table810[[#This Row],[pacc]]+Table810[[#This Row],[gacc]])/2</f>
        <v>0.94916666650000003</v>
      </c>
      <c r="N298" s="1">
        <f>(Table810[[#This Row],[paccsd]]+Table810[[#This Row],[gaccsd]])/2</f>
        <v>0.220919437</v>
      </c>
      <c r="O298">
        <f>Table810[[#This Row],[mrt]]-(Table810[[#This Row],[macc]]*1000)</f>
        <v>921.68722000000002</v>
      </c>
      <c r="P298" s="9">
        <f>(Table810[[#This Row],[prt]]-Table810[[#This Row],[grt]])</f>
        <v>11.026921000000129</v>
      </c>
      <c r="Q298" s="8">
        <f>Table810[[#This Row],[pacc]]-Table810[[#This Row],[gacc]]</f>
        <v>-1.8333333000000063E-2</v>
      </c>
      <c r="R298" s="8">
        <f>Table810[[#This Row],[rt_pairing_score]]-Table810[[#This Row],[acc_pairing_score]]</f>
        <v>11.045254333000129</v>
      </c>
    </row>
    <row r="299" spans="1:18" x14ac:dyDescent="0.25">
      <c r="A299" t="s">
        <v>163</v>
      </c>
      <c r="B299" s="1">
        <v>1798.5714290000001</v>
      </c>
      <c r="C299" s="1">
        <v>549.57965000000002</v>
      </c>
      <c r="D299" s="1">
        <v>0.88</v>
      </c>
      <c r="E299" s="1">
        <v>0.32826072299999998</v>
      </c>
      <c r="F299" s="1">
        <v>491</v>
      </c>
      <c r="G299" s="1">
        <v>1796</v>
      </c>
      <c r="H299" s="1">
        <v>549.77263989999994</v>
      </c>
      <c r="I299" s="1">
        <v>0.87234042599999995</v>
      </c>
      <c r="J299" s="1">
        <v>0.33731814900000001</v>
      </c>
      <c r="K299" s="1">
        <f>(B299+Table810[[#This Row],[grt]])/2</f>
        <v>1797.2857145</v>
      </c>
      <c r="L299" s="1">
        <f>(Table810[[#This Row],[prtsd]]+Table810[[#This Row],[grtsd]])/2</f>
        <v>549.67614494999998</v>
      </c>
      <c r="M299" s="1">
        <f>(Table810[[#This Row],[pacc]]+Table810[[#This Row],[gacc]])/2</f>
        <v>0.87617021299999998</v>
      </c>
      <c r="N299" s="1">
        <f>(Table810[[#This Row],[paccsd]]+Table810[[#This Row],[gaccsd]])/2</f>
        <v>0.33278943599999999</v>
      </c>
      <c r="O299">
        <f>Table810[[#This Row],[mrt]]-(Table810[[#This Row],[macc]]*1000)</f>
        <v>921.11550150000005</v>
      </c>
      <c r="P299" s="9">
        <f>(Table810[[#This Row],[prt]]-Table810[[#This Row],[grt]])</f>
        <v>2.5714290000000801</v>
      </c>
      <c r="Q299" s="8">
        <f>Table810[[#This Row],[pacc]]-Table810[[#This Row],[gacc]]</f>
        <v>7.6595740000000578E-3</v>
      </c>
      <c r="R299" s="8">
        <f>Table810[[#This Row],[rt_pairing_score]]-Table810[[#This Row],[acc_pairing_score]]</f>
        <v>2.5637694260000803</v>
      </c>
    </row>
    <row r="300" spans="1:18" x14ac:dyDescent="0.25">
      <c r="A300" t="s">
        <v>313</v>
      </c>
      <c r="B300" s="1">
        <v>1877.54</v>
      </c>
      <c r="C300" s="1">
        <v>551.0774682</v>
      </c>
      <c r="D300" s="1">
        <v>0.96</v>
      </c>
      <c r="E300" s="1">
        <v>0.197948664</v>
      </c>
      <c r="F300" s="1">
        <v>444</v>
      </c>
      <c r="G300" s="1">
        <v>1891.5625</v>
      </c>
      <c r="H300" s="1">
        <v>540.70686230000001</v>
      </c>
      <c r="I300" s="1">
        <v>0.97916666699999999</v>
      </c>
      <c r="J300" s="1">
        <v>0.144337567</v>
      </c>
      <c r="K300" s="1">
        <f>(B300+Table810[[#This Row],[grt]])/2</f>
        <v>1884.55125</v>
      </c>
      <c r="L300" s="1">
        <f>(Table810[[#This Row],[prtsd]]+Table810[[#This Row],[grtsd]])/2</f>
        <v>545.89216525000006</v>
      </c>
      <c r="M300" s="1">
        <f>(Table810[[#This Row],[pacc]]+Table810[[#This Row],[gacc]])/2</f>
        <v>0.96958333349999992</v>
      </c>
      <c r="N300" s="1">
        <f>(Table810[[#This Row],[paccsd]]+Table810[[#This Row],[gaccsd]])/2</f>
        <v>0.1711431155</v>
      </c>
      <c r="O300">
        <f>Table810[[#This Row],[mrt]]-(Table810[[#This Row],[macc]]*1000)</f>
        <v>914.96791650000011</v>
      </c>
      <c r="P300" s="9">
        <f>(Table810[[#This Row],[prt]]-Table810[[#This Row],[grt]])</f>
        <v>-14.022500000000036</v>
      </c>
      <c r="Q300" s="8">
        <f>Table810[[#This Row],[pacc]]-Table810[[#This Row],[gacc]]</f>
        <v>-1.9166667000000026E-2</v>
      </c>
      <c r="R300" s="8">
        <f>Table810[[#This Row],[rt_pairing_score]]-Table810[[#This Row],[acc_pairing_score]]</f>
        <v>-14.003333333000036</v>
      </c>
    </row>
    <row r="301" spans="1:18" x14ac:dyDescent="0.25">
      <c r="A301" t="s">
        <v>170</v>
      </c>
      <c r="B301" s="1">
        <v>1856.895833</v>
      </c>
      <c r="C301" s="1">
        <v>515.53101070000002</v>
      </c>
      <c r="D301" s="1">
        <v>0.89795918399999997</v>
      </c>
      <c r="E301" s="1">
        <v>0.30583887100000001</v>
      </c>
      <c r="F301" s="1">
        <v>112</v>
      </c>
      <c r="G301" s="1">
        <v>1847.208333</v>
      </c>
      <c r="H301" s="1">
        <v>504.9485737</v>
      </c>
      <c r="I301" s="1">
        <v>0.97916666699999999</v>
      </c>
      <c r="J301" s="1">
        <v>0.144337567</v>
      </c>
      <c r="K301" s="1">
        <f>(B301+Table810[[#This Row],[grt]])/2</f>
        <v>1852.052083</v>
      </c>
      <c r="L301" s="1">
        <f>(Table810[[#This Row],[prtsd]]+Table810[[#This Row],[grtsd]])/2</f>
        <v>510.23979220000001</v>
      </c>
      <c r="M301" s="1">
        <f>(Table810[[#This Row],[pacc]]+Table810[[#This Row],[gacc]])/2</f>
        <v>0.93856292549999998</v>
      </c>
      <c r="N301" s="1">
        <f>(Table810[[#This Row],[paccsd]]+Table810[[#This Row],[gaccsd]])/2</f>
        <v>0.22508821900000001</v>
      </c>
      <c r="O301">
        <f>Table810[[#This Row],[mrt]]-(Table810[[#This Row],[macc]]*1000)</f>
        <v>913.48915750000003</v>
      </c>
      <c r="P301" s="9">
        <f>(Table810[[#This Row],[prt]]-Table810[[#This Row],[grt]])</f>
        <v>9.6875</v>
      </c>
      <c r="Q301" s="8">
        <f>Table810[[#This Row],[pacc]]-Table810[[#This Row],[gacc]]</f>
        <v>-8.1207483000000025E-2</v>
      </c>
      <c r="R301" s="8">
        <f>Table810[[#This Row],[rt_pairing_score]]-Table810[[#This Row],[acc_pairing_score]]</f>
        <v>9.768707483</v>
      </c>
    </row>
    <row r="302" spans="1:18" x14ac:dyDescent="0.25">
      <c r="A302" t="s">
        <v>362</v>
      </c>
      <c r="B302" s="1">
        <v>1873.04</v>
      </c>
      <c r="C302" s="1">
        <v>675.53220020000003</v>
      </c>
      <c r="D302" s="1">
        <v>0.98</v>
      </c>
      <c r="E302" s="1">
        <v>0.141421356</v>
      </c>
      <c r="F302" s="1">
        <v>192</v>
      </c>
      <c r="G302" s="1">
        <v>1880.708333</v>
      </c>
      <c r="H302" s="1">
        <v>693.08133929999997</v>
      </c>
      <c r="I302" s="1">
        <v>0.95833333300000001</v>
      </c>
      <c r="J302" s="1">
        <v>0.20194093699999999</v>
      </c>
      <c r="K302" s="1">
        <f>(B302+Table810[[#This Row],[grt]])/2</f>
        <v>1876.8741665</v>
      </c>
      <c r="L302" s="1">
        <f>(Table810[[#This Row],[prtsd]]+Table810[[#This Row],[grtsd]])/2</f>
        <v>684.30676975000006</v>
      </c>
      <c r="M302" s="1">
        <f>(Table810[[#This Row],[pacc]]+Table810[[#This Row],[gacc]])/2</f>
        <v>0.96916666650000005</v>
      </c>
      <c r="N302" s="1">
        <f>(Table810[[#This Row],[paccsd]]+Table810[[#This Row],[gaccsd]])/2</f>
        <v>0.17168114649999999</v>
      </c>
      <c r="O302">
        <f>Table810[[#This Row],[mrt]]-(Table810[[#This Row],[macc]]*1000)</f>
        <v>907.70749999999998</v>
      </c>
      <c r="P302" s="9">
        <f>(Table810[[#This Row],[prt]]-Table810[[#This Row],[grt]])</f>
        <v>-7.6683330000000751</v>
      </c>
      <c r="Q302" s="8">
        <f>Table810[[#This Row],[pacc]]-Table810[[#This Row],[gacc]]</f>
        <v>2.1666666999999973E-2</v>
      </c>
      <c r="R302" s="8">
        <f>Table810[[#This Row],[rt_pairing_score]]-Table810[[#This Row],[acc_pairing_score]]</f>
        <v>-7.689999667000075</v>
      </c>
    </row>
    <row r="303" spans="1:18" x14ac:dyDescent="0.25">
      <c r="A303" t="s">
        <v>230</v>
      </c>
      <c r="B303" s="1">
        <v>1831.8297869999999</v>
      </c>
      <c r="C303" s="1">
        <v>650.77296249999995</v>
      </c>
      <c r="D303" s="1">
        <v>0.93617021300000003</v>
      </c>
      <c r="E303" s="1">
        <v>0.24709224799999999</v>
      </c>
      <c r="F303" s="1">
        <v>51</v>
      </c>
      <c r="G303" s="1">
        <v>1809.9787229999999</v>
      </c>
      <c r="H303" s="1">
        <v>649.41132170000003</v>
      </c>
      <c r="I303" s="1">
        <v>0.89583333300000001</v>
      </c>
      <c r="J303" s="1">
        <v>0.30870927799999998</v>
      </c>
      <c r="K303" s="1">
        <f>(B303+Table810[[#This Row],[grt]])/2</f>
        <v>1820.9042549999999</v>
      </c>
      <c r="L303" s="1">
        <f>(Table810[[#This Row],[prtsd]]+Table810[[#This Row],[grtsd]])/2</f>
        <v>650.09214210000005</v>
      </c>
      <c r="M303" s="1">
        <f>(Table810[[#This Row],[pacc]]+Table810[[#This Row],[gacc]])/2</f>
        <v>0.91600177300000007</v>
      </c>
      <c r="N303" s="1">
        <f>(Table810[[#This Row],[paccsd]]+Table810[[#This Row],[gaccsd]])/2</f>
        <v>0.277900763</v>
      </c>
      <c r="O303">
        <f>Table810[[#This Row],[mrt]]-(Table810[[#This Row],[macc]]*1000)</f>
        <v>904.90248199999985</v>
      </c>
      <c r="P303" s="9">
        <f>(Table810[[#This Row],[prt]]-Table810[[#This Row],[grt]])</f>
        <v>21.851063999999951</v>
      </c>
      <c r="Q303" s="8">
        <f>Table810[[#This Row],[pacc]]-Table810[[#This Row],[gacc]]</f>
        <v>4.0336880000000019E-2</v>
      </c>
      <c r="R303" s="8">
        <f>Table810[[#This Row],[rt_pairing_score]]-Table810[[#This Row],[acc_pairing_score]]</f>
        <v>21.81072711999995</v>
      </c>
    </row>
    <row r="304" spans="1:18" x14ac:dyDescent="0.25">
      <c r="A304" t="s">
        <v>282</v>
      </c>
      <c r="B304" s="1">
        <v>1866.122449</v>
      </c>
      <c r="C304" s="1">
        <v>544.5591349</v>
      </c>
      <c r="D304" s="1">
        <v>0.95918367299999996</v>
      </c>
      <c r="E304" s="1">
        <v>0.19991494800000001</v>
      </c>
      <c r="F304" s="1">
        <v>153</v>
      </c>
      <c r="G304" s="1">
        <v>1856.2978720000001</v>
      </c>
      <c r="H304" s="1">
        <v>548.4650484</v>
      </c>
      <c r="I304" s="1">
        <v>0.95833333300000001</v>
      </c>
      <c r="J304" s="1">
        <v>0.20194093699999999</v>
      </c>
      <c r="K304" s="1">
        <f>(B304+Table810[[#This Row],[grt]])/2</f>
        <v>1861.2101605</v>
      </c>
      <c r="L304" s="1">
        <f>(Table810[[#This Row],[prtsd]]+Table810[[#This Row],[grtsd]])/2</f>
        <v>546.51209165</v>
      </c>
      <c r="M304" s="1">
        <f>(Table810[[#This Row],[pacc]]+Table810[[#This Row],[gacc]])/2</f>
        <v>0.95875850299999998</v>
      </c>
      <c r="N304" s="1">
        <f>(Table810[[#This Row],[paccsd]]+Table810[[#This Row],[gaccsd]])/2</f>
        <v>0.20092794250000001</v>
      </c>
      <c r="O304">
        <f>Table810[[#This Row],[mrt]]-(Table810[[#This Row],[macc]]*1000)</f>
        <v>902.45165750000001</v>
      </c>
      <c r="P304" s="9">
        <f>(Table810[[#This Row],[prt]]-Table810[[#This Row],[grt]])</f>
        <v>9.8245769999998629</v>
      </c>
      <c r="Q304" s="8">
        <f>Table810[[#This Row],[pacc]]-Table810[[#This Row],[gacc]]</f>
        <v>8.5033999999994947E-4</v>
      </c>
      <c r="R304" s="8">
        <f>Table810[[#This Row],[rt_pairing_score]]-Table810[[#This Row],[acc_pairing_score]]</f>
        <v>9.8237266599998634</v>
      </c>
    </row>
    <row r="305" spans="1:18" x14ac:dyDescent="0.25">
      <c r="A305" t="s">
        <v>273</v>
      </c>
      <c r="B305" s="1">
        <v>1865.645833</v>
      </c>
      <c r="C305" s="1">
        <v>576.43975120000005</v>
      </c>
      <c r="D305" s="1">
        <v>0.95833333300000001</v>
      </c>
      <c r="E305" s="1">
        <v>0.20194093699999999</v>
      </c>
      <c r="F305" s="1">
        <v>334</v>
      </c>
      <c r="G305" s="1">
        <v>1874.104167</v>
      </c>
      <c r="H305" s="1">
        <v>580.18878949999998</v>
      </c>
      <c r="I305" s="1">
        <v>0.97916666699999999</v>
      </c>
      <c r="J305" s="1">
        <v>0.144337567</v>
      </c>
      <c r="K305" s="1">
        <f>(B305+Table810[[#This Row],[grt]])/2</f>
        <v>1869.875</v>
      </c>
      <c r="L305" s="1">
        <f>(Table810[[#This Row],[prtsd]]+Table810[[#This Row],[grtsd]])/2</f>
        <v>578.31427035000002</v>
      </c>
      <c r="M305" s="1">
        <f>(Table810[[#This Row],[pacc]]+Table810[[#This Row],[gacc]])/2</f>
        <v>0.96875</v>
      </c>
      <c r="N305" s="1">
        <f>(Table810[[#This Row],[paccsd]]+Table810[[#This Row],[gaccsd]])/2</f>
        <v>0.17313925199999999</v>
      </c>
      <c r="O305">
        <f>Table810[[#This Row],[mrt]]-(Table810[[#This Row],[macc]]*1000)</f>
        <v>901.125</v>
      </c>
      <c r="P305" s="9">
        <f>(Table810[[#This Row],[prt]]-Table810[[#This Row],[grt]])</f>
        <v>-8.4583339999999225</v>
      </c>
      <c r="Q305" s="8">
        <f>Table810[[#This Row],[pacc]]-Table810[[#This Row],[gacc]]</f>
        <v>-2.0833333999999981E-2</v>
      </c>
      <c r="R305" s="8">
        <f>Table810[[#This Row],[rt_pairing_score]]-Table810[[#This Row],[acc_pairing_score]]</f>
        <v>-8.4375006659999219</v>
      </c>
    </row>
    <row r="306" spans="1:18" x14ac:dyDescent="0.25">
      <c r="A306" t="s">
        <v>297</v>
      </c>
      <c r="B306" s="1">
        <v>1868.3265309999999</v>
      </c>
      <c r="C306" s="1">
        <v>638.5828186</v>
      </c>
      <c r="D306" s="1">
        <v>0.95918367299999996</v>
      </c>
      <c r="E306" s="1">
        <v>0.19991494800000001</v>
      </c>
      <c r="F306" s="1">
        <v>602</v>
      </c>
      <c r="G306" s="1">
        <v>1891.479167</v>
      </c>
      <c r="H306" s="1">
        <v>640.36811190000003</v>
      </c>
      <c r="I306" s="1">
        <v>1</v>
      </c>
      <c r="J306" s="1">
        <v>0</v>
      </c>
      <c r="K306" s="1">
        <f>(B306+Table810[[#This Row],[grt]])/2</f>
        <v>1879.9028490000001</v>
      </c>
      <c r="L306" s="1">
        <f>(Table810[[#This Row],[prtsd]]+Table810[[#This Row],[grtsd]])/2</f>
        <v>639.47546525000007</v>
      </c>
      <c r="M306" s="1">
        <f>(Table810[[#This Row],[pacc]]+Table810[[#This Row],[gacc]])/2</f>
        <v>0.97959183650000003</v>
      </c>
      <c r="N306" s="1">
        <f>(Table810[[#This Row],[paccsd]]+Table810[[#This Row],[gaccsd]])/2</f>
        <v>9.9957474000000004E-2</v>
      </c>
      <c r="O306">
        <f>Table810[[#This Row],[mrt]]-(Table810[[#This Row],[macc]]*1000)</f>
        <v>900.31101250000006</v>
      </c>
      <c r="P306" s="9">
        <f>(Table810[[#This Row],[prt]]-Table810[[#This Row],[grt]])</f>
        <v>-23.15263600000003</v>
      </c>
      <c r="Q306" s="8">
        <f>Table810[[#This Row],[pacc]]-Table810[[#This Row],[gacc]]</f>
        <v>-4.0816327000000041E-2</v>
      </c>
      <c r="R306" s="8">
        <f>Table810[[#This Row],[rt_pairing_score]]-Table810[[#This Row],[acc_pairing_score]]</f>
        <v>-23.111819673000028</v>
      </c>
    </row>
    <row r="307" spans="1:18" x14ac:dyDescent="0.25">
      <c r="A307" t="s">
        <v>351</v>
      </c>
      <c r="B307" s="1">
        <v>1857.24</v>
      </c>
      <c r="C307" s="1">
        <v>595.65527489999999</v>
      </c>
      <c r="D307" s="1">
        <v>0.98</v>
      </c>
      <c r="E307" s="1">
        <v>0.141421356</v>
      </c>
      <c r="F307" s="1">
        <v>379</v>
      </c>
      <c r="G307" s="1">
        <v>1873.425532</v>
      </c>
      <c r="H307" s="1">
        <v>597.88183160000006</v>
      </c>
      <c r="I307" s="1">
        <v>0.95833333300000001</v>
      </c>
      <c r="J307" s="1">
        <v>0.20194093699999999</v>
      </c>
      <c r="K307" s="1">
        <f>(B307+Table810[[#This Row],[grt]])/2</f>
        <v>1865.332766</v>
      </c>
      <c r="L307" s="1">
        <f>(Table810[[#This Row],[prtsd]]+Table810[[#This Row],[grtsd]])/2</f>
        <v>596.76855324999997</v>
      </c>
      <c r="M307" s="1">
        <f>(Table810[[#This Row],[pacc]]+Table810[[#This Row],[gacc]])/2</f>
        <v>0.96916666650000005</v>
      </c>
      <c r="N307" s="1">
        <f>(Table810[[#This Row],[paccsd]]+Table810[[#This Row],[gaccsd]])/2</f>
        <v>0.17168114649999999</v>
      </c>
      <c r="O307">
        <f>Table810[[#This Row],[mrt]]-(Table810[[#This Row],[macc]]*1000)</f>
        <v>896.16609949999997</v>
      </c>
      <c r="P307" s="9">
        <f>(Table810[[#This Row],[prt]]-Table810[[#This Row],[grt]])</f>
        <v>-16.185531999999967</v>
      </c>
      <c r="Q307" s="8">
        <f>Table810[[#This Row],[pacc]]-Table810[[#This Row],[gacc]]</f>
        <v>2.1666666999999973E-2</v>
      </c>
      <c r="R307" s="8">
        <f>Table810[[#This Row],[rt_pairing_score]]-Table810[[#This Row],[acc_pairing_score]]</f>
        <v>-16.207198666999968</v>
      </c>
    </row>
    <row r="308" spans="1:18" x14ac:dyDescent="0.25">
      <c r="A308" t="s">
        <v>207</v>
      </c>
      <c r="B308" s="1">
        <v>1728.122449</v>
      </c>
      <c r="C308" s="1">
        <v>640.88085969999997</v>
      </c>
      <c r="D308" s="1">
        <v>0.918367347</v>
      </c>
      <c r="E308" s="1">
        <v>0.27664166800000001</v>
      </c>
      <c r="F308" s="1">
        <v>267</v>
      </c>
      <c r="G308" s="1">
        <v>1928.791667</v>
      </c>
      <c r="H308" s="1">
        <v>552.7839391</v>
      </c>
      <c r="I308" s="1">
        <v>0.95833333300000001</v>
      </c>
      <c r="J308" s="1">
        <v>0.20194093699999999</v>
      </c>
      <c r="K308" s="1">
        <f>(B308+Table810[[#This Row],[grt]])/2</f>
        <v>1828.457058</v>
      </c>
      <c r="L308" s="1">
        <f>(Table810[[#This Row],[prtsd]]+Table810[[#This Row],[grtsd]])/2</f>
        <v>596.83239939999999</v>
      </c>
      <c r="M308" s="1">
        <f>(Table810[[#This Row],[pacc]]+Table810[[#This Row],[gacc]])/2</f>
        <v>0.93835033999999995</v>
      </c>
      <c r="N308" s="1">
        <f>(Table810[[#This Row],[paccsd]]+Table810[[#This Row],[gaccsd]])/2</f>
        <v>0.2392913025</v>
      </c>
      <c r="O308">
        <f>Table810[[#This Row],[mrt]]-(Table810[[#This Row],[macc]]*1000)</f>
        <v>890.106718</v>
      </c>
      <c r="P308" s="9">
        <f>(Table810[[#This Row],[prt]]-Table810[[#This Row],[grt]])</f>
        <v>-200.669218</v>
      </c>
      <c r="Q308" s="8">
        <f>Table810[[#This Row],[pacc]]-Table810[[#This Row],[gacc]]</f>
        <v>-3.9965986000000009E-2</v>
      </c>
      <c r="R308" s="8">
        <f>Table810[[#This Row],[rt_pairing_score]]-Table810[[#This Row],[acc_pairing_score]]</f>
        <v>-200.629252014</v>
      </c>
    </row>
    <row r="309" spans="1:18" x14ac:dyDescent="0.25">
      <c r="A309" t="s">
        <v>367</v>
      </c>
      <c r="B309" s="1">
        <v>1874.62</v>
      </c>
      <c r="C309" s="1">
        <v>606.98148749999996</v>
      </c>
      <c r="D309" s="1">
        <v>0.98</v>
      </c>
      <c r="E309" s="1">
        <v>0.141421356</v>
      </c>
      <c r="F309" s="1">
        <v>216</v>
      </c>
      <c r="G309" s="1">
        <v>1874.229167</v>
      </c>
      <c r="H309" s="1">
        <v>607.65024370000003</v>
      </c>
      <c r="I309" s="1">
        <v>1</v>
      </c>
      <c r="J309" s="1">
        <v>0</v>
      </c>
      <c r="K309" s="1">
        <f>(B309+Table810[[#This Row],[grt]])/2</f>
        <v>1874.4245834999999</v>
      </c>
      <c r="L309" s="1">
        <f>(Table810[[#This Row],[prtsd]]+Table810[[#This Row],[grtsd]])/2</f>
        <v>607.31586560000005</v>
      </c>
      <c r="M309" s="1">
        <f>(Table810[[#This Row],[pacc]]+Table810[[#This Row],[gacc]])/2</f>
        <v>0.99</v>
      </c>
      <c r="N309" s="1">
        <f>(Table810[[#This Row],[paccsd]]+Table810[[#This Row],[gaccsd]])/2</f>
        <v>7.0710677999999999E-2</v>
      </c>
      <c r="O309">
        <f>Table810[[#This Row],[mrt]]-(Table810[[#This Row],[macc]]*1000)</f>
        <v>884.42458349999993</v>
      </c>
      <c r="P309" s="9">
        <f>(Table810[[#This Row],[prt]]-Table810[[#This Row],[grt]])</f>
        <v>0.3908329999999296</v>
      </c>
      <c r="Q309" s="8">
        <f>Table810[[#This Row],[pacc]]-Table810[[#This Row],[gacc]]</f>
        <v>-2.0000000000000018E-2</v>
      </c>
      <c r="R309" s="8">
        <f>Table810[[#This Row],[rt_pairing_score]]-Table810[[#This Row],[acc_pairing_score]]</f>
        <v>0.41083299999992962</v>
      </c>
    </row>
    <row r="310" spans="1:18" x14ac:dyDescent="0.25">
      <c r="A310" t="s">
        <v>358</v>
      </c>
      <c r="B310" s="1">
        <v>1755.081633</v>
      </c>
      <c r="C310" s="1">
        <v>615.97750350000001</v>
      </c>
      <c r="D310" s="1">
        <v>0.98</v>
      </c>
      <c r="E310" s="1">
        <v>0.141421356</v>
      </c>
      <c r="F310" s="1">
        <v>199</v>
      </c>
      <c r="G310" s="1">
        <v>1919.2391299999999</v>
      </c>
      <c r="H310" s="1">
        <v>595.27939979999996</v>
      </c>
      <c r="I310" s="1">
        <v>0.93617021300000003</v>
      </c>
      <c r="J310" s="1">
        <v>0.24709224799999999</v>
      </c>
      <c r="K310" s="1">
        <f>(B310+Table810[[#This Row],[grt]])/2</f>
        <v>1837.1603814999999</v>
      </c>
      <c r="L310" s="1">
        <f>(Table810[[#This Row],[prtsd]]+Table810[[#This Row],[grtsd]])/2</f>
        <v>605.62845164999999</v>
      </c>
      <c r="M310" s="1">
        <f>(Table810[[#This Row],[pacc]]+Table810[[#This Row],[gacc]])/2</f>
        <v>0.95808510650000001</v>
      </c>
      <c r="N310" s="1">
        <f>(Table810[[#This Row],[paccsd]]+Table810[[#This Row],[gaccsd]])/2</f>
        <v>0.19425680200000001</v>
      </c>
      <c r="O310">
        <f>Table810[[#This Row],[mrt]]-(Table810[[#This Row],[macc]]*1000)</f>
        <v>879.07527499999981</v>
      </c>
      <c r="P310" s="9">
        <f>(Table810[[#This Row],[prt]]-Table810[[#This Row],[grt]])</f>
        <v>-164.15749699999992</v>
      </c>
      <c r="Q310" s="8">
        <f>Table810[[#This Row],[pacc]]-Table810[[#This Row],[gacc]]</f>
        <v>4.3829786999999953E-2</v>
      </c>
      <c r="R310" s="8">
        <f>Table810[[#This Row],[rt_pairing_score]]-Table810[[#This Row],[acc_pairing_score]]</f>
        <v>-164.20132678699991</v>
      </c>
    </row>
    <row r="311" spans="1:18" x14ac:dyDescent="0.25">
      <c r="A311" t="s">
        <v>280</v>
      </c>
      <c r="B311" s="1">
        <v>1846.468085</v>
      </c>
      <c r="C311" s="1">
        <v>569.91795179999997</v>
      </c>
      <c r="D311" s="1">
        <v>0.95918367299999996</v>
      </c>
      <c r="E311" s="1">
        <v>0.19991494800000001</v>
      </c>
      <c r="F311" s="1">
        <v>97</v>
      </c>
      <c r="G311" s="1">
        <v>1847.270833</v>
      </c>
      <c r="H311" s="1">
        <v>570.92242420000002</v>
      </c>
      <c r="I311" s="1">
        <v>0.97916666699999999</v>
      </c>
      <c r="J311" s="1">
        <v>0.144337567</v>
      </c>
      <c r="K311" s="1">
        <f>(B311+Table810[[#This Row],[grt]])/2</f>
        <v>1846.869459</v>
      </c>
      <c r="L311" s="1">
        <f>(Table810[[#This Row],[prtsd]]+Table810[[#This Row],[grtsd]])/2</f>
        <v>570.42018800000005</v>
      </c>
      <c r="M311" s="1">
        <f>(Table810[[#This Row],[pacc]]+Table810[[#This Row],[gacc]])/2</f>
        <v>0.96917516999999997</v>
      </c>
      <c r="N311" s="1">
        <f>(Table810[[#This Row],[paccsd]]+Table810[[#This Row],[gaccsd]])/2</f>
        <v>0.17212625749999999</v>
      </c>
      <c r="O311">
        <f>Table810[[#This Row],[mrt]]-(Table810[[#This Row],[macc]]*1000)</f>
        <v>877.69428900000003</v>
      </c>
      <c r="P311" s="9">
        <f>(Table810[[#This Row],[prt]]-Table810[[#This Row],[grt]])</f>
        <v>-0.80274800000006508</v>
      </c>
      <c r="Q311" s="8">
        <f>Table810[[#This Row],[pacc]]-Table810[[#This Row],[gacc]]</f>
        <v>-1.9982994000000032E-2</v>
      </c>
      <c r="R311" s="8">
        <f>Table810[[#This Row],[rt_pairing_score]]-Table810[[#This Row],[acc_pairing_score]]</f>
        <v>-0.78276500600006504</v>
      </c>
    </row>
    <row r="312" spans="1:18" x14ac:dyDescent="0.25">
      <c r="A312" t="s">
        <v>324</v>
      </c>
      <c r="B312" s="1">
        <v>1725.183673</v>
      </c>
      <c r="C312" s="1">
        <v>607.2353564</v>
      </c>
      <c r="D312" s="1">
        <v>0.96</v>
      </c>
      <c r="E312" s="1">
        <v>0.197948664</v>
      </c>
      <c r="F312" s="1">
        <v>18</v>
      </c>
      <c r="G312" s="1">
        <v>1858.957447</v>
      </c>
      <c r="H312" s="1">
        <v>565.12899479999999</v>
      </c>
      <c r="I312" s="1">
        <v>0.89361702099999996</v>
      </c>
      <c r="J312" s="1">
        <v>0.31166052799999999</v>
      </c>
      <c r="K312" s="1">
        <f>(B312+Table810[[#This Row],[grt]])/2</f>
        <v>1792.0705600000001</v>
      </c>
      <c r="L312" s="1">
        <f>(Table810[[#This Row],[prtsd]]+Table810[[#This Row],[grtsd]])/2</f>
        <v>586.18217559999994</v>
      </c>
      <c r="M312" s="1">
        <f>(Table810[[#This Row],[pacc]]+Table810[[#This Row],[gacc]])/2</f>
        <v>0.9268085104999999</v>
      </c>
      <c r="N312" s="1">
        <f>(Table810[[#This Row],[paccsd]]+Table810[[#This Row],[gaccsd]])/2</f>
        <v>0.25480459599999999</v>
      </c>
      <c r="O312">
        <f>Table810[[#This Row],[mrt]]-(Table810[[#This Row],[macc]]*1000)</f>
        <v>865.26204950000022</v>
      </c>
      <c r="P312" s="9">
        <f>(Table810[[#This Row],[prt]]-Table810[[#This Row],[grt]])</f>
        <v>-133.773774</v>
      </c>
      <c r="Q312" s="8">
        <f>Table810[[#This Row],[pacc]]-Table810[[#This Row],[gacc]]</f>
        <v>6.6382979000000009E-2</v>
      </c>
      <c r="R312" s="8">
        <f>Table810[[#This Row],[rt_pairing_score]]-Table810[[#This Row],[acc_pairing_score]]</f>
        <v>-133.840156979</v>
      </c>
    </row>
    <row r="313" spans="1:18" x14ac:dyDescent="0.25">
      <c r="A313" t="s">
        <v>299</v>
      </c>
      <c r="B313" s="1">
        <v>1754.4081630000001</v>
      </c>
      <c r="C313" s="1">
        <v>608.16712059999998</v>
      </c>
      <c r="D313" s="1">
        <v>0.95918367299999996</v>
      </c>
      <c r="E313" s="1">
        <v>0.19991494800000001</v>
      </c>
      <c r="F313" s="1">
        <v>96</v>
      </c>
      <c r="G313" s="1">
        <v>1871.6875</v>
      </c>
      <c r="H313" s="1">
        <v>571.58753009999998</v>
      </c>
      <c r="I313" s="1">
        <v>0.9375</v>
      </c>
      <c r="J313" s="1">
        <v>0.24462302699999999</v>
      </c>
      <c r="K313" s="1">
        <f>(B313+Table810[[#This Row],[grt]])/2</f>
        <v>1813.0478315</v>
      </c>
      <c r="L313" s="1">
        <f>(Table810[[#This Row],[prtsd]]+Table810[[#This Row],[grtsd]])/2</f>
        <v>589.87732534999998</v>
      </c>
      <c r="M313" s="1">
        <f>(Table810[[#This Row],[pacc]]+Table810[[#This Row],[gacc]])/2</f>
        <v>0.94834183650000003</v>
      </c>
      <c r="N313" s="1">
        <f>(Table810[[#This Row],[paccsd]]+Table810[[#This Row],[gaccsd]])/2</f>
        <v>0.22226898750000001</v>
      </c>
      <c r="O313">
        <f>Table810[[#This Row],[mrt]]-(Table810[[#This Row],[macc]]*1000)</f>
        <v>864.70599500000003</v>
      </c>
      <c r="P313" s="9">
        <f>(Table810[[#This Row],[prt]]-Table810[[#This Row],[grt]])</f>
        <v>-117.27933699999994</v>
      </c>
      <c r="Q313" s="8">
        <f>Table810[[#This Row],[pacc]]-Table810[[#This Row],[gacc]]</f>
        <v>2.1683672999999959E-2</v>
      </c>
      <c r="R313" s="8">
        <f>Table810[[#This Row],[rt_pairing_score]]-Table810[[#This Row],[acc_pairing_score]]</f>
        <v>-117.30102067299994</v>
      </c>
    </row>
    <row r="314" spans="1:18" x14ac:dyDescent="0.25">
      <c r="A314" t="s">
        <v>202</v>
      </c>
      <c r="B314" s="1">
        <v>1807.791667</v>
      </c>
      <c r="C314" s="1">
        <v>590.04568730000005</v>
      </c>
      <c r="D314" s="1">
        <v>0.918367347</v>
      </c>
      <c r="E314" s="1">
        <v>0.27664166800000001</v>
      </c>
      <c r="F314" s="1">
        <v>133</v>
      </c>
      <c r="G314" s="1">
        <v>1796.1702130000001</v>
      </c>
      <c r="H314" s="1">
        <v>576.97755659999996</v>
      </c>
      <c r="I314" s="1">
        <v>0.95833333300000001</v>
      </c>
      <c r="J314" s="1">
        <v>0.20194093699999999</v>
      </c>
      <c r="K314" s="1">
        <f>(B314+Table810[[#This Row],[grt]])/2</f>
        <v>1801.9809399999999</v>
      </c>
      <c r="L314" s="1">
        <f>(Table810[[#This Row],[prtsd]]+Table810[[#This Row],[grtsd]])/2</f>
        <v>583.51162195000006</v>
      </c>
      <c r="M314" s="1">
        <f>(Table810[[#This Row],[pacc]]+Table810[[#This Row],[gacc]])/2</f>
        <v>0.93835033999999995</v>
      </c>
      <c r="N314" s="1">
        <f>(Table810[[#This Row],[paccsd]]+Table810[[#This Row],[gaccsd]])/2</f>
        <v>0.2392913025</v>
      </c>
      <c r="O314">
        <f>Table810[[#This Row],[mrt]]-(Table810[[#This Row],[macc]]*1000)</f>
        <v>863.63059999999996</v>
      </c>
      <c r="P314" s="9">
        <f>(Table810[[#This Row],[prt]]-Table810[[#This Row],[grt]])</f>
        <v>11.621453999999858</v>
      </c>
      <c r="Q314" s="8">
        <f>Table810[[#This Row],[pacc]]-Table810[[#This Row],[gacc]]</f>
        <v>-3.9965986000000009E-2</v>
      </c>
      <c r="R314" s="8">
        <f>Table810[[#This Row],[rt_pairing_score]]-Table810[[#This Row],[acc_pairing_score]]</f>
        <v>11.661419985999858</v>
      </c>
    </row>
    <row r="315" spans="1:18" x14ac:dyDescent="0.25">
      <c r="A315" t="s">
        <v>210</v>
      </c>
      <c r="B315" s="1">
        <v>1792.0408159999999</v>
      </c>
      <c r="C315" s="1">
        <v>693.78373669999996</v>
      </c>
      <c r="D315" s="1">
        <v>0.918367347</v>
      </c>
      <c r="E315" s="1">
        <v>0.27664166800000001</v>
      </c>
      <c r="F315" s="1">
        <v>252</v>
      </c>
      <c r="G315" s="1">
        <v>1786.869565</v>
      </c>
      <c r="H315" s="1">
        <v>710.1456379</v>
      </c>
      <c r="I315" s="1">
        <v>0.93617021300000003</v>
      </c>
      <c r="J315" s="1">
        <v>0.24709224799999999</v>
      </c>
      <c r="K315" s="1">
        <f>(B315+Table810[[#This Row],[grt]])/2</f>
        <v>1789.4551904999998</v>
      </c>
      <c r="L315" s="1">
        <f>(Table810[[#This Row],[prtsd]]+Table810[[#This Row],[grtsd]])/2</f>
        <v>701.96468729999992</v>
      </c>
      <c r="M315" s="1">
        <f>(Table810[[#This Row],[pacc]]+Table810[[#This Row],[gacc]])/2</f>
        <v>0.92726878000000001</v>
      </c>
      <c r="N315" s="1">
        <f>(Table810[[#This Row],[paccsd]]+Table810[[#This Row],[gaccsd]])/2</f>
        <v>0.26186695799999998</v>
      </c>
      <c r="O315">
        <f>Table810[[#This Row],[mrt]]-(Table810[[#This Row],[macc]]*1000)</f>
        <v>862.18641049999985</v>
      </c>
      <c r="P315" s="9">
        <f>(Table810[[#This Row],[prt]]-Table810[[#This Row],[grt]])</f>
        <v>5.1712509999999838</v>
      </c>
      <c r="Q315" s="8">
        <f>Table810[[#This Row],[pacc]]-Table810[[#This Row],[gacc]]</f>
        <v>-1.7802866000000028E-2</v>
      </c>
      <c r="R315" s="8">
        <f>Table810[[#This Row],[rt_pairing_score]]-Table810[[#This Row],[acc_pairing_score]]</f>
        <v>5.1890538659999841</v>
      </c>
    </row>
    <row r="316" spans="1:18" x14ac:dyDescent="0.25">
      <c r="A316" t="s">
        <v>374</v>
      </c>
      <c r="B316" s="1">
        <v>1844.92</v>
      </c>
      <c r="C316" s="1">
        <v>561.0286413</v>
      </c>
      <c r="D316" s="1">
        <v>1</v>
      </c>
      <c r="E316" s="1">
        <v>0</v>
      </c>
      <c r="F316" s="1">
        <v>84</v>
      </c>
      <c r="G316" s="1">
        <v>1856.6382980000001</v>
      </c>
      <c r="H316" s="1">
        <v>556.43513729999995</v>
      </c>
      <c r="I316" s="1">
        <v>0.97872340400000002</v>
      </c>
      <c r="J316" s="1">
        <v>0.145864991</v>
      </c>
      <c r="K316" s="1">
        <f>(B316+Table810[[#This Row],[grt]])/2</f>
        <v>1850.779149</v>
      </c>
      <c r="L316" s="1">
        <f>(Table810[[#This Row],[prtsd]]+Table810[[#This Row],[grtsd]])/2</f>
        <v>558.73188929999992</v>
      </c>
      <c r="M316" s="1">
        <f>(Table810[[#This Row],[pacc]]+Table810[[#This Row],[gacc]])/2</f>
        <v>0.98936170200000007</v>
      </c>
      <c r="N316" s="1">
        <f>(Table810[[#This Row],[paccsd]]+Table810[[#This Row],[gaccsd]])/2</f>
        <v>7.29324955E-2</v>
      </c>
      <c r="O316">
        <f>Table810[[#This Row],[mrt]]-(Table810[[#This Row],[macc]]*1000)</f>
        <v>861.41744699999992</v>
      </c>
      <c r="P316" s="9">
        <f>(Table810[[#This Row],[prt]]-Table810[[#This Row],[grt]])</f>
        <v>-11.718298000000004</v>
      </c>
      <c r="Q316" s="8">
        <f>Table810[[#This Row],[pacc]]-Table810[[#This Row],[gacc]]</f>
        <v>2.1276595999999981E-2</v>
      </c>
      <c r="R316" s="8">
        <f>Table810[[#This Row],[rt_pairing_score]]-Table810[[#This Row],[acc_pairing_score]]</f>
        <v>-11.739574596000004</v>
      </c>
    </row>
    <row r="317" spans="1:18" x14ac:dyDescent="0.25">
      <c r="A317" t="s">
        <v>376</v>
      </c>
      <c r="B317" s="1">
        <v>1857.02</v>
      </c>
      <c r="C317" s="1">
        <v>599.22417489999998</v>
      </c>
      <c r="D317" s="1">
        <v>1</v>
      </c>
      <c r="E317" s="1">
        <v>0</v>
      </c>
      <c r="F317" s="1">
        <v>7</v>
      </c>
      <c r="G317" s="1">
        <v>1850.354167</v>
      </c>
      <c r="H317" s="1">
        <v>598.19556650000004</v>
      </c>
      <c r="I317" s="1">
        <v>1</v>
      </c>
      <c r="J317" s="1">
        <v>0</v>
      </c>
      <c r="K317" s="1">
        <f>(B317+Table810[[#This Row],[grt]])/2</f>
        <v>1853.6870835</v>
      </c>
      <c r="L317" s="1">
        <f>(Table810[[#This Row],[prtsd]]+Table810[[#This Row],[grtsd]])/2</f>
        <v>598.70987070000001</v>
      </c>
      <c r="M317" s="1">
        <f>(Table810[[#This Row],[pacc]]+Table810[[#This Row],[gacc]])/2</f>
        <v>1</v>
      </c>
      <c r="N317" s="1">
        <f>(Table810[[#This Row],[paccsd]]+Table810[[#This Row],[gaccsd]])/2</f>
        <v>0</v>
      </c>
      <c r="O317">
        <f>Table810[[#This Row],[mrt]]-(Table810[[#This Row],[macc]]*1000)</f>
        <v>853.68708349999997</v>
      </c>
      <c r="P317" s="9">
        <f>(Table810[[#This Row],[prt]]-Table810[[#This Row],[grt]])</f>
        <v>6.6658330000000205</v>
      </c>
      <c r="Q317" s="8">
        <f>Table810[[#This Row],[pacc]]-Table810[[#This Row],[gacc]]</f>
        <v>0</v>
      </c>
      <c r="R317" s="8">
        <f>Table810[[#This Row],[rt_pairing_score]]-Table810[[#This Row],[acc_pairing_score]]</f>
        <v>6.6658330000000205</v>
      </c>
    </row>
    <row r="318" spans="1:18" x14ac:dyDescent="0.25">
      <c r="A318" t="s">
        <v>261</v>
      </c>
      <c r="B318" s="1">
        <v>1810.7755099999999</v>
      </c>
      <c r="C318" s="1">
        <v>631.87704059999999</v>
      </c>
      <c r="D318" s="1">
        <v>0.94</v>
      </c>
      <c r="E318" s="1">
        <v>0.23989793700000001</v>
      </c>
      <c r="F318" s="1">
        <v>28</v>
      </c>
      <c r="G318" s="1">
        <v>1834.9565219999999</v>
      </c>
      <c r="H318" s="1">
        <v>639.6310727</v>
      </c>
      <c r="I318" s="1">
        <v>1</v>
      </c>
      <c r="J318" s="1">
        <v>0</v>
      </c>
      <c r="K318" s="1">
        <f>(B318+Table810[[#This Row],[grt]])/2</f>
        <v>1822.8660159999999</v>
      </c>
      <c r="L318" s="1">
        <f>(Table810[[#This Row],[prtsd]]+Table810[[#This Row],[grtsd]])/2</f>
        <v>635.75405664999994</v>
      </c>
      <c r="M318" s="1">
        <f>(Table810[[#This Row],[pacc]]+Table810[[#This Row],[gacc]])/2</f>
        <v>0.97</v>
      </c>
      <c r="N318" s="1">
        <f>(Table810[[#This Row],[paccsd]]+Table810[[#This Row],[gaccsd]])/2</f>
        <v>0.1199489685</v>
      </c>
      <c r="O318">
        <f>Table810[[#This Row],[mrt]]-(Table810[[#This Row],[macc]]*1000)</f>
        <v>852.86601599999995</v>
      </c>
      <c r="P318" s="9">
        <f>(Table810[[#This Row],[prt]]-Table810[[#This Row],[grt]])</f>
        <v>-24.18101200000001</v>
      </c>
      <c r="Q318" s="8">
        <f>Table810[[#This Row],[pacc]]-Table810[[#This Row],[gacc]]</f>
        <v>-6.0000000000000053E-2</v>
      </c>
      <c r="R318" s="8">
        <f>Table810[[#This Row],[rt_pairing_score]]-Table810[[#This Row],[acc_pairing_score]]</f>
        <v>-24.121012000000011</v>
      </c>
    </row>
    <row r="319" spans="1:18" x14ac:dyDescent="0.25">
      <c r="A319" t="s">
        <v>318</v>
      </c>
      <c r="B319" s="1">
        <v>1797.64</v>
      </c>
      <c r="C319" s="1">
        <v>657.41658150000001</v>
      </c>
      <c r="D319" s="1">
        <v>0.96</v>
      </c>
      <c r="E319" s="1">
        <v>0.197948664</v>
      </c>
      <c r="F319" s="1">
        <v>417</v>
      </c>
      <c r="G319" s="1">
        <v>1843.8125</v>
      </c>
      <c r="H319" s="1">
        <v>643.10436119999997</v>
      </c>
      <c r="I319" s="1">
        <v>0.97916666699999999</v>
      </c>
      <c r="J319" s="1">
        <v>0.144337567</v>
      </c>
      <c r="K319" s="1">
        <f>(B319+Table810[[#This Row],[grt]])/2</f>
        <v>1820.7262500000002</v>
      </c>
      <c r="L319" s="1">
        <f>(Table810[[#This Row],[prtsd]]+Table810[[#This Row],[grtsd]])/2</f>
        <v>650.26047134999999</v>
      </c>
      <c r="M319" s="1">
        <f>(Table810[[#This Row],[pacc]]+Table810[[#This Row],[gacc]])/2</f>
        <v>0.96958333349999992</v>
      </c>
      <c r="N319" s="1">
        <f>(Table810[[#This Row],[paccsd]]+Table810[[#This Row],[gaccsd]])/2</f>
        <v>0.1711431155</v>
      </c>
      <c r="O319">
        <f>Table810[[#This Row],[mrt]]-(Table810[[#This Row],[macc]]*1000)</f>
        <v>851.1429165000003</v>
      </c>
      <c r="P319" s="9">
        <f>(Table810[[#This Row],[prt]]-Table810[[#This Row],[grt]])</f>
        <v>-46.1724999999999</v>
      </c>
      <c r="Q319" s="8">
        <f>Table810[[#This Row],[pacc]]-Table810[[#This Row],[gacc]]</f>
        <v>-1.9166667000000026E-2</v>
      </c>
      <c r="R319" s="8">
        <f>Table810[[#This Row],[rt_pairing_score]]-Table810[[#This Row],[acc_pairing_score]]</f>
        <v>-46.1533333329999</v>
      </c>
    </row>
    <row r="320" spans="1:18" x14ac:dyDescent="0.25">
      <c r="A320" t="s">
        <v>284</v>
      </c>
      <c r="B320" s="1">
        <v>1764.734694</v>
      </c>
      <c r="C320" s="1">
        <v>587.20080240000004</v>
      </c>
      <c r="D320" s="1">
        <v>0.95918367299999996</v>
      </c>
      <c r="E320" s="1">
        <v>0.19991494800000001</v>
      </c>
      <c r="F320" s="1">
        <v>152</v>
      </c>
      <c r="G320" s="1">
        <v>1831.446809</v>
      </c>
      <c r="H320" s="1">
        <v>565.2997977</v>
      </c>
      <c r="I320" s="1">
        <v>0.93617021300000003</v>
      </c>
      <c r="J320" s="1">
        <v>0.24709224799999999</v>
      </c>
      <c r="K320" s="1">
        <f>(B320+Table810[[#This Row],[grt]])/2</f>
        <v>1798.0907514999999</v>
      </c>
      <c r="L320" s="1">
        <f>(Table810[[#This Row],[prtsd]]+Table810[[#This Row],[grtsd]])/2</f>
        <v>576.25030005000008</v>
      </c>
      <c r="M320" s="1">
        <f>(Table810[[#This Row],[pacc]]+Table810[[#This Row],[gacc]])/2</f>
        <v>0.94767694300000005</v>
      </c>
      <c r="N320" s="1">
        <f>(Table810[[#This Row],[paccsd]]+Table810[[#This Row],[gaccsd]])/2</f>
        <v>0.223503598</v>
      </c>
      <c r="O320">
        <f>Table810[[#This Row],[mrt]]-(Table810[[#This Row],[macc]]*1000)</f>
        <v>850.41380849999985</v>
      </c>
      <c r="P320" s="9">
        <f>(Table810[[#This Row],[prt]]-Table810[[#This Row],[grt]])</f>
        <v>-66.71211500000004</v>
      </c>
      <c r="Q320" s="8">
        <f>Table810[[#This Row],[pacc]]-Table810[[#This Row],[gacc]]</f>
        <v>2.301345999999993E-2</v>
      </c>
      <c r="R320" s="8">
        <f>Table810[[#This Row],[rt_pairing_score]]-Table810[[#This Row],[acc_pairing_score]]</f>
        <v>-66.735128460000041</v>
      </c>
    </row>
    <row r="321" spans="1:18" x14ac:dyDescent="0.25">
      <c r="A321" t="s">
        <v>255</v>
      </c>
      <c r="B321" s="1">
        <v>1731.346939</v>
      </c>
      <c r="C321" s="1">
        <v>652.00167920000001</v>
      </c>
      <c r="D321" s="1">
        <v>0.94</v>
      </c>
      <c r="E321" s="1">
        <v>0.23989793700000001</v>
      </c>
      <c r="F321" s="1">
        <v>407</v>
      </c>
      <c r="G321" s="1">
        <v>1885.8260869999999</v>
      </c>
      <c r="H321" s="1">
        <v>534.6343425</v>
      </c>
      <c r="I321" s="1">
        <v>0.97872340400000002</v>
      </c>
      <c r="J321" s="1">
        <v>0.145864991</v>
      </c>
      <c r="K321" s="1">
        <f>(B321+Table810[[#This Row],[grt]])/2</f>
        <v>1808.586513</v>
      </c>
      <c r="L321" s="1">
        <f>(Table810[[#This Row],[prtsd]]+Table810[[#This Row],[grtsd]])/2</f>
        <v>593.31801085000006</v>
      </c>
      <c r="M321" s="1">
        <f>(Table810[[#This Row],[pacc]]+Table810[[#This Row],[gacc]])/2</f>
        <v>0.95936170200000004</v>
      </c>
      <c r="N321" s="1">
        <f>(Table810[[#This Row],[paccsd]]+Table810[[#This Row],[gaccsd]])/2</f>
        <v>0.192881464</v>
      </c>
      <c r="O321">
        <f>Table810[[#This Row],[mrt]]-(Table810[[#This Row],[macc]]*1000)</f>
        <v>849.22481099999993</v>
      </c>
      <c r="P321" s="9">
        <f>(Table810[[#This Row],[prt]]-Table810[[#This Row],[grt]])</f>
        <v>-154.4791479999999</v>
      </c>
      <c r="Q321" s="8">
        <f>Table810[[#This Row],[pacc]]-Table810[[#This Row],[gacc]]</f>
        <v>-3.8723404000000072E-2</v>
      </c>
      <c r="R321" s="8">
        <f>Table810[[#This Row],[rt_pairing_score]]-Table810[[#This Row],[acc_pairing_score]]</f>
        <v>-154.4404245959999</v>
      </c>
    </row>
    <row r="322" spans="1:18" x14ac:dyDescent="0.25">
      <c r="A322" t="s">
        <v>356</v>
      </c>
      <c r="B322" s="1">
        <v>1822.6</v>
      </c>
      <c r="C322" s="1">
        <v>584.7492747</v>
      </c>
      <c r="D322" s="1">
        <v>0.98</v>
      </c>
      <c r="E322" s="1">
        <v>0.141421356</v>
      </c>
      <c r="F322" s="1">
        <v>248</v>
      </c>
      <c r="G322" s="1">
        <v>1816.229167</v>
      </c>
      <c r="H322" s="1">
        <v>583.18105070000001</v>
      </c>
      <c r="I322" s="1">
        <v>0.97916666699999999</v>
      </c>
      <c r="J322" s="1">
        <v>0.144337567</v>
      </c>
      <c r="K322" s="1">
        <f>(B322+Table810[[#This Row],[grt]])/2</f>
        <v>1819.4145834999999</v>
      </c>
      <c r="L322" s="1">
        <f>(Table810[[#This Row],[prtsd]]+Table810[[#This Row],[grtsd]])/2</f>
        <v>583.96516270000006</v>
      </c>
      <c r="M322" s="1">
        <f>(Table810[[#This Row],[pacc]]+Table810[[#This Row],[gacc]])/2</f>
        <v>0.97958333349999993</v>
      </c>
      <c r="N322" s="1">
        <f>(Table810[[#This Row],[paccsd]]+Table810[[#This Row],[gaccsd]])/2</f>
        <v>0.1428794615</v>
      </c>
      <c r="O322">
        <f>Table810[[#This Row],[mrt]]-(Table810[[#This Row],[macc]]*1000)</f>
        <v>839.83124999999995</v>
      </c>
      <c r="P322" s="9">
        <f>(Table810[[#This Row],[prt]]-Table810[[#This Row],[grt]])</f>
        <v>6.3708329999999478</v>
      </c>
      <c r="Q322" s="8">
        <f>Table810[[#This Row],[pacc]]-Table810[[#This Row],[gacc]]</f>
        <v>8.3333299999999166E-4</v>
      </c>
      <c r="R322" s="8">
        <f>Table810[[#This Row],[rt_pairing_score]]-Table810[[#This Row],[acc_pairing_score]]</f>
        <v>6.3699996669999477</v>
      </c>
    </row>
    <row r="323" spans="1:18" x14ac:dyDescent="0.25">
      <c r="A323" t="s">
        <v>257</v>
      </c>
      <c r="B323" s="1">
        <v>1780.4375</v>
      </c>
      <c r="C323" s="1">
        <v>602.10216519999994</v>
      </c>
      <c r="D323" s="1">
        <v>0.94</v>
      </c>
      <c r="E323" s="1">
        <v>0.23989793700000001</v>
      </c>
      <c r="F323" s="1">
        <v>58</v>
      </c>
      <c r="G323" s="1">
        <v>1806.2340429999999</v>
      </c>
      <c r="H323" s="1">
        <v>605.05634710000004</v>
      </c>
      <c r="I323" s="1">
        <v>0.97872340400000002</v>
      </c>
      <c r="J323" s="1">
        <v>0.145864991</v>
      </c>
      <c r="K323" s="1">
        <f>(B323+Table810[[#This Row],[grt]])/2</f>
        <v>1793.3357715</v>
      </c>
      <c r="L323" s="1">
        <f>(Table810[[#This Row],[prtsd]]+Table810[[#This Row],[grtsd]])/2</f>
        <v>603.57925614999999</v>
      </c>
      <c r="M323" s="1">
        <f>(Table810[[#This Row],[pacc]]+Table810[[#This Row],[gacc]])/2</f>
        <v>0.95936170200000004</v>
      </c>
      <c r="N323" s="1">
        <f>(Table810[[#This Row],[paccsd]]+Table810[[#This Row],[gaccsd]])/2</f>
        <v>0.192881464</v>
      </c>
      <c r="O323">
        <f>Table810[[#This Row],[mrt]]-(Table810[[#This Row],[macc]]*1000)</f>
        <v>833.97406949999993</v>
      </c>
      <c r="P323" s="9">
        <f>(Table810[[#This Row],[prt]]-Table810[[#This Row],[grt]])</f>
        <v>-25.796542999999929</v>
      </c>
      <c r="Q323" s="8">
        <f>Table810[[#This Row],[pacc]]-Table810[[#This Row],[gacc]]</f>
        <v>-3.8723404000000072E-2</v>
      </c>
      <c r="R323" s="8">
        <f>Table810[[#This Row],[rt_pairing_score]]-Table810[[#This Row],[acc_pairing_score]]</f>
        <v>-25.75781959599993</v>
      </c>
    </row>
    <row r="324" spans="1:18" x14ac:dyDescent="0.25">
      <c r="A324" t="s">
        <v>378</v>
      </c>
      <c r="B324" s="1">
        <v>1804.2448979999999</v>
      </c>
      <c r="C324" s="1">
        <v>622.75244310000005</v>
      </c>
      <c r="D324" s="1">
        <v>1</v>
      </c>
      <c r="E324" s="1">
        <v>0</v>
      </c>
      <c r="F324" s="1">
        <v>6</v>
      </c>
      <c r="G324" s="1">
        <v>1840.645833</v>
      </c>
      <c r="H324" s="1">
        <v>608.58096160000002</v>
      </c>
      <c r="I324" s="1">
        <v>0.97916666699999999</v>
      </c>
      <c r="J324" s="1">
        <v>0.144337567</v>
      </c>
      <c r="K324" s="1">
        <f>(B324+Table810[[#This Row],[grt]])/2</f>
        <v>1822.4453655</v>
      </c>
      <c r="L324" s="1">
        <f>(Table810[[#This Row],[prtsd]]+Table810[[#This Row],[grtsd]])/2</f>
        <v>615.66670235000004</v>
      </c>
      <c r="M324" s="1">
        <f>(Table810[[#This Row],[pacc]]+Table810[[#This Row],[gacc]])/2</f>
        <v>0.98958333349999994</v>
      </c>
      <c r="N324" s="1">
        <f>(Table810[[#This Row],[paccsd]]+Table810[[#This Row],[gaccsd]])/2</f>
        <v>7.21687835E-2</v>
      </c>
      <c r="O324">
        <f>Table810[[#This Row],[mrt]]-(Table810[[#This Row],[macc]]*1000)</f>
        <v>832.862032</v>
      </c>
      <c r="P324" s="9">
        <f>(Table810[[#This Row],[prt]]-Table810[[#This Row],[grt]])</f>
        <v>-36.400935000000118</v>
      </c>
      <c r="Q324" s="8">
        <f>Table810[[#This Row],[pacc]]-Table810[[#This Row],[gacc]]</f>
        <v>2.0833333000000009E-2</v>
      </c>
      <c r="R324" s="8">
        <f>Table810[[#This Row],[rt_pairing_score]]-Table810[[#This Row],[acc_pairing_score]]</f>
        <v>-36.421768333000117</v>
      </c>
    </row>
    <row r="325" spans="1:18" x14ac:dyDescent="0.25">
      <c r="A325" t="s">
        <v>315</v>
      </c>
      <c r="B325" s="1">
        <v>1643.74</v>
      </c>
      <c r="C325" s="1">
        <v>592.82288400000004</v>
      </c>
      <c r="D325" s="1">
        <v>0.96</v>
      </c>
      <c r="E325" s="1">
        <v>0.197948664</v>
      </c>
      <c r="F325" s="1">
        <v>427</v>
      </c>
      <c r="G325" s="1">
        <v>1911.145833</v>
      </c>
      <c r="H325" s="1">
        <v>567.93140840000001</v>
      </c>
      <c r="I325" s="1">
        <v>0.9375</v>
      </c>
      <c r="J325" s="1">
        <v>0.24462302699999999</v>
      </c>
      <c r="K325" s="1">
        <f>(B325+Table810[[#This Row],[grt]])/2</f>
        <v>1777.4429165000001</v>
      </c>
      <c r="L325" s="1">
        <f>(Table810[[#This Row],[prtsd]]+Table810[[#This Row],[grtsd]])/2</f>
        <v>580.37714619999997</v>
      </c>
      <c r="M325" s="1">
        <f>(Table810[[#This Row],[pacc]]+Table810[[#This Row],[gacc]])/2</f>
        <v>0.94874999999999998</v>
      </c>
      <c r="N325" s="1">
        <f>(Table810[[#This Row],[paccsd]]+Table810[[#This Row],[gaccsd]])/2</f>
        <v>0.22128584549999999</v>
      </c>
      <c r="O325">
        <f>Table810[[#This Row],[mrt]]-(Table810[[#This Row],[macc]]*1000)</f>
        <v>828.69291650000014</v>
      </c>
      <c r="P325" s="9">
        <f>(Table810[[#This Row],[prt]]-Table810[[#This Row],[grt]])</f>
        <v>-267.40583300000003</v>
      </c>
      <c r="Q325" s="8">
        <f>Table810[[#This Row],[pacc]]-Table810[[#This Row],[gacc]]</f>
        <v>2.2499999999999964E-2</v>
      </c>
      <c r="R325" s="8">
        <f>Table810[[#This Row],[rt_pairing_score]]-Table810[[#This Row],[acc_pairing_score]]</f>
        <v>-267.42833300000001</v>
      </c>
    </row>
    <row r="326" spans="1:18" x14ac:dyDescent="0.25">
      <c r="A326" t="s">
        <v>276</v>
      </c>
      <c r="B326" s="1">
        <v>1671.6875</v>
      </c>
      <c r="C326" s="1">
        <v>619.31744019999996</v>
      </c>
      <c r="D326" s="1">
        <v>0.95833333300000001</v>
      </c>
      <c r="E326" s="1">
        <v>0.20194093699999999</v>
      </c>
      <c r="F326" s="1">
        <v>318</v>
      </c>
      <c r="G326" s="1">
        <v>1856.7021279999999</v>
      </c>
      <c r="H326" s="1">
        <v>532.90226340000004</v>
      </c>
      <c r="I326" s="1">
        <v>0.91489361700000005</v>
      </c>
      <c r="J326" s="1">
        <v>0.28205667299999998</v>
      </c>
      <c r="K326" s="1">
        <f>(B326+Table810[[#This Row],[grt]])/2</f>
        <v>1764.194814</v>
      </c>
      <c r="L326" s="1">
        <f>(Table810[[#This Row],[prtsd]]+Table810[[#This Row],[grtsd]])/2</f>
        <v>576.1098518</v>
      </c>
      <c r="M326" s="1">
        <f>(Table810[[#This Row],[pacc]]+Table810[[#This Row],[gacc]])/2</f>
        <v>0.93661347500000003</v>
      </c>
      <c r="N326" s="1">
        <f>(Table810[[#This Row],[paccsd]]+Table810[[#This Row],[gaccsd]])/2</f>
        <v>0.24199880499999998</v>
      </c>
      <c r="O326">
        <f>Table810[[#This Row],[mrt]]-(Table810[[#This Row],[macc]]*1000)</f>
        <v>827.58133899999996</v>
      </c>
      <c r="P326" s="9">
        <f>(Table810[[#This Row],[prt]]-Table810[[#This Row],[grt]])</f>
        <v>-185.0146279999999</v>
      </c>
      <c r="Q326" s="8">
        <f>Table810[[#This Row],[pacc]]-Table810[[#This Row],[gacc]]</f>
        <v>4.3439715999999962E-2</v>
      </c>
      <c r="R326" s="8">
        <f>Table810[[#This Row],[rt_pairing_score]]-Table810[[#This Row],[acc_pairing_score]]</f>
        <v>-185.0580677159999</v>
      </c>
    </row>
    <row r="327" spans="1:18" x14ac:dyDescent="0.25">
      <c r="A327" t="s">
        <v>396</v>
      </c>
      <c r="B327" s="1">
        <v>1822.3673470000001</v>
      </c>
      <c r="C327" s="1">
        <v>539.72881670000004</v>
      </c>
      <c r="D327" s="1">
        <v>1</v>
      </c>
      <c r="E327" s="1">
        <v>0</v>
      </c>
      <c r="F327" s="1">
        <v>92</v>
      </c>
      <c r="G327" s="1">
        <v>1803.2765959999999</v>
      </c>
      <c r="H327" s="1">
        <v>534.78930030000004</v>
      </c>
      <c r="I327" s="1">
        <v>0.97872340400000002</v>
      </c>
      <c r="J327" s="1">
        <v>0.145864991</v>
      </c>
      <c r="K327" s="1">
        <f>(B327+Table810[[#This Row],[grt]])/2</f>
        <v>1812.8219715</v>
      </c>
      <c r="L327" s="1">
        <f>(Table810[[#This Row],[prtsd]]+Table810[[#This Row],[grtsd]])/2</f>
        <v>537.25905850000004</v>
      </c>
      <c r="M327" s="1">
        <f>(Table810[[#This Row],[pacc]]+Table810[[#This Row],[gacc]])/2</f>
        <v>0.98936170200000007</v>
      </c>
      <c r="N327" s="1">
        <f>(Table810[[#This Row],[paccsd]]+Table810[[#This Row],[gaccsd]])/2</f>
        <v>7.29324955E-2</v>
      </c>
      <c r="O327">
        <f>Table810[[#This Row],[mrt]]-(Table810[[#This Row],[macc]]*1000)</f>
        <v>823.46026949999998</v>
      </c>
      <c r="P327" s="9">
        <f>(Table810[[#This Row],[prt]]-Table810[[#This Row],[grt]])</f>
        <v>19.090751000000182</v>
      </c>
      <c r="Q327" s="8">
        <f>Table810[[#This Row],[pacc]]-Table810[[#This Row],[gacc]]</f>
        <v>2.1276595999999981E-2</v>
      </c>
      <c r="R327" s="8">
        <f>Table810[[#This Row],[rt_pairing_score]]-Table810[[#This Row],[acc_pairing_score]]</f>
        <v>19.069474404000182</v>
      </c>
    </row>
    <row r="328" spans="1:18" x14ac:dyDescent="0.25">
      <c r="A328" t="s">
        <v>259</v>
      </c>
      <c r="B328" s="1">
        <v>1776</v>
      </c>
      <c r="C328" s="1">
        <v>585.94521580000003</v>
      </c>
      <c r="D328" s="1">
        <v>0.94</v>
      </c>
      <c r="E328" s="1">
        <v>0.23989793700000001</v>
      </c>
      <c r="F328" s="1">
        <v>33</v>
      </c>
      <c r="G328" s="1">
        <v>1767.2127660000001</v>
      </c>
      <c r="H328" s="1">
        <v>581.59626430000003</v>
      </c>
      <c r="I328" s="1">
        <v>0.95833333300000001</v>
      </c>
      <c r="J328" s="1">
        <v>0.20194093699999999</v>
      </c>
      <c r="K328" s="1">
        <f>(B328+Table810[[#This Row],[grt]])/2</f>
        <v>1771.6063830000001</v>
      </c>
      <c r="L328" s="1">
        <f>(Table810[[#This Row],[prtsd]]+Table810[[#This Row],[grtsd]])/2</f>
        <v>583.77074005000009</v>
      </c>
      <c r="M328" s="1">
        <f>(Table810[[#This Row],[pacc]]+Table810[[#This Row],[gacc]])/2</f>
        <v>0.94916666650000003</v>
      </c>
      <c r="N328" s="1">
        <f>(Table810[[#This Row],[paccsd]]+Table810[[#This Row],[gaccsd]])/2</f>
        <v>0.220919437</v>
      </c>
      <c r="O328">
        <f>Table810[[#This Row],[mrt]]-(Table810[[#This Row],[macc]]*1000)</f>
        <v>822.43971650000003</v>
      </c>
      <c r="P328" s="9">
        <f>(Table810[[#This Row],[prt]]-Table810[[#This Row],[grt]])</f>
        <v>8.7872339999998985</v>
      </c>
      <c r="Q328" s="8">
        <f>Table810[[#This Row],[pacc]]-Table810[[#This Row],[gacc]]</f>
        <v>-1.8333333000000063E-2</v>
      </c>
      <c r="R328" s="8">
        <f>Table810[[#This Row],[rt_pairing_score]]-Table810[[#This Row],[acc_pairing_score]]</f>
        <v>8.8055673329998978</v>
      </c>
    </row>
    <row r="329" spans="1:18" x14ac:dyDescent="0.25">
      <c r="A329" t="s">
        <v>251</v>
      </c>
      <c r="B329" s="1">
        <v>1741.183673</v>
      </c>
      <c r="C329" s="1">
        <v>573.84070359999998</v>
      </c>
      <c r="D329" s="1">
        <v>0.93877551000000004</v>
      </c>
      <c r="E329" s="1">
        <v>0.24222607099999999</v>
      </c>
      <c r="F329" s="1">
        <v>214</v>
      </c>
      <c r="G329" s="1">
        <v>1752.708333</v>
      </c>
      <c r="H329" s="1">
        <v>558.01075100000003</v>
      </c>
      <c r="I329" s="1">
        <v>0.9375</v>
      </c>
      <c r="J329" s="1">
        <v>0.24462302699999999</v>
      </c>
      <c r="K329" s="1">
        <f>(B329+Table810[[#This Row],[grt]])/2</f>
        <v>1746.946003</v>
      </c>
      <c r="L329" s="1">
        <f>(Table810[[#This Row],[prtsd]]+Table810[[#This Row],[grtsd]])/2</f>
        <v>565.92572730000006</v>
      </c>
      <c r="M329" s="1">
        <f>(Table810[[#This Row],[pacc]]+Table810[[#This Row],[gacc]])/2</f>
        <v>0.93813775500000007</v>
      </c>
      <c r="N329" s="1">
        <f>(Table810[[#This Row],[paccsd]]+Table810[[#This Row],[gaccsd]])/2</f>
        <v>0.24342454899999999</v>
      </c>
      <c r="O329">
        <f>Table810[[#This Row],[mrt]]-(Table810[[#This Row],[macc]]*1000)</f>
        <v>808.80824799999994</v>
      </c>
      <c r="P329" s="9">
        <f>(Table810[[#This Row],[prt]]-Table810[[#This Row],[grt]])</f>
        <v>-11.52466000000004</v>
      </c>
      <c r="Q329" s="8">
        <f>Table810[[#This Row],[pacc]]-Table810[[#This Row],[gacc]]</f>
        <v>1.2755100000000352E-3</v>
      </c>
      <c r="R329" s="8">
        <f>Table810[[#This Row],[rt_pairing_score]]-Table810[[#This Row],[acc_pairing_score]]</f>
        <v>-11.525935510000039</v>
      </c>
    </row>
    <row r="330" spans="1:18" x14ac:dyDescent="0.25">
      <c r="A330" t="s">
        <v>387</v>
      </c>
      <c r="B330" s="1">
        <v>1648.306122</v>
      </c>
      <c r="C330" s="1">
        <v>584.42336980000005</v>
      </c>
      <c r="D330" s="1">
        <v>1</v>
      </c>
      <c r="E330" s="1">
        <v>0</v>
      </c>
      <c r="F330" s="1">
        <v>188</v>
      </c>
      <c r="G330" s="1">
        <v>1912.958333</v>
      </c>
      <c r="H330" s="1">
        <v>580.48457229999997</v>
      </c>
      <c r="I330" s="1">
        <v>0.95833333300000001</v>
      </c>
      <c r="J330" s="1">
        <v>0.20194093699999999</v>
      </c>
      <c r="K330" s="1">
        <f>(B330+Table810[[#This Row],[grt]])/2</f>
        <v>1780.6322275</v>
      </c>
      <c r="L330" s="1">
        <f>(Table810[[#This Row],[prtsd]]+Table810[[#This Row],[grtsd]])/2</f>
        <v>582.45397105000006</v>
      </c>
      <c r="M330" s="1">
        <f>(Table810[[#This Row],[pacc]]+Table810[[#This Row],[gacc]])/2</f>
        <v>0.97916666650000006</v>
      </c>
      <c r="N330" s="1">
        <f>(Table810[[#This Row],[paccsd]]+Table810[[#This Row],[gaccsd]])/2</f>
        <v>0.10097046849999999</v>
      </c>
      <c r="O330">
        <f>Table810[[#This Row],[mrt]]-(Table810[[#This Row],[macc]]*1000)</f>
        <v>801.46556099999998</v>
      </c>
      <c r="P330" s="9">
        <f>(Table810[[#This Row],[prt]]-Table810[[#This Row],[grt]])</f>
        <v>-264.65221100000008</v>
      </c>
      <c r="Q330" s="8">
        <f>Table810[[#This Row],[pacc]]-Table810[[#This Row],[gacc]]</f>
        <v>4.1666666999999991E-2</v>
      </c>
      <c r="R330" s="8">
        <f>Table810[[#This Row],[rt_pairing_score]]-Table810[[#This Row],[acc_pairing_score]]</f>
        <v>-264.69387766700009</v>
      </c>
    </row>
    <row r="331" spans="1:18" x14ac:dyDescent="0.25">
      <c r="A331" t="s">
        <v>134</v>
      </c>
      <c r="B331" s="1">
        <v>1720.8979589999999</v>
      </c>
      <c r="C331" s="1">
        <v>561.82037630000002</v>
      </c>
      <c r="D331" s="1">
        <v>0.85714285700000004</v>
      </c>
      <c r="E331" s="1">
        <v>0.35355339099999999</v>
      </c>
      <c r="F331" s="1">
        <v>60</v>
      </c>
      <c r="G331" s="1">
        <v>1704.416667</v>
      </c>
      <c r="H331" s="1">
        <v>560.47490630000004</v>
      </c>
      <c r="I331" s="1">
        <v>0.97916666699999999</v>
      </c>
      <c r="J331" s="1">
        <v>0.144337567</v>
      </c>
      <c r="K331" s="1">
        <f>(B331+Table810[[#This Row],[grt]])/2</f>
        <v>1712.6573129999999</v>
      </c>
      <c r="L331" s="1">
        <f>(Table810[[#This Row],[prtsd]]+Table810[[#This Row],[grtsd]])/2</f>
        <v>561.14764130000003</v>
      </c>
      <c r="M331" s="1">
        <f>(Table810[[#This Row],[pacc]]+Table810[[#This Row],[gacc]])/2</f>
        <v>0.91815476200000001</v>
      </c>
      <c r="N331" s="1">
        <f>(Table810[[#This Row],[paccsd]]+Table810[[#This Row],[gaccsd]])/2</f>
        <v>0.248945479</v>
      </c>
      <c r="O331">
        <f>Table810[[#This Row],[mrt]]-(Table810[[#This Row],[macc]]*1000)</f>
        <v>794.50255099999993</v>
      </c>
      <c r="P331" s="9">
        <f>(Table810[[#This Row],[prt]]-Table810[[#This Row],[grt]])</f>
        <v>16.481291999999939</v>
      </c>
      <c r="Q331" s="8">
        <f>Table810[[#This Row],[pacc]]-Table810[[#This Row],[gacc]]</f>
        <v>-0.12202380999999995</v>
      </c>
      <c r="R331" s="8">
        <f>Table810[[#This Row],[rt_pairing_score]]-Table810[[#This Row],[acc_pairing_score]]</f>
        <v>16.603315809999941</v>
      </c>
    </row>
    <row r="332" spans="1:18" x14ac:dyDescent="0.25">
      <c r="A332" t="s">
        <v>236</v>
      </c>
      <c r="B332" s="1">
        <v>1721.553191</v>
      </c>
      <c r="C332" s="1">
        <v>505.46800560000003</v>
      </c>
      <c r="D332" s="1">
        <v>0.9375</v>
      </c>
      <c r="E332" s="1">
        <v>0.24462302699999999</v>
      </c>
      <c r="F332" s="1">
        <v>167</v>
      </c>
      <c r="G332" s="1">
        <v>1733.583333</v>
      </c>
      <c r="H332" s="1">
        <v>502.36207309999998</v>
      </c>
      <c r="I332" s="1">
        <v>0.9375</v>
      </c>
      <c r="J332" s="1">
        <v>0.24462302699999999</v>
      </c>
      <c r="K332" s="1">
        <f>(B332+Table810[[#This Row],[grt]])/2</f>
        <v>1727.568262</v>
      </c>
      <c r="L332" s="1">
        <f>(Table810[[#This Row],[prtsd]]+Table810[[#This Row],[grtsd]])/2</f>
        <v>503.91503935000003</v>
      </c>
      <c r="M332" s="1">
        <f>(Table810[[#This Row],[pacc]]+Table810[[#This Row],[gacc]])/2</f>
        <v>0.9375</v>
      </c>
      <c r="N332" s="1">
        <f>(Table810[[#This Row],[paccsd]]+Table810[[#This Row],[gaccsd]])/2</f>
        <v>0.24462302699999999</v>
      </c>
      <c r="O332">
        <f>Table810[[#This Row],[mrt]]-(Table810[[#This Row],[macc]]*1000)</f>
        <v>790.068262</v>
      </c>
      <c r="P332" s="9">
        <f>(Table810[[#This Row],[prt]]-Table810[[#This Row],[grt]])</f>
        <v>-12.030142000000069</v>
      </c>
      <c r="Q332" s="8">
        <f>Table810[[#This Row],[pacc]]-Table810[[#This Row],[gacc]]</f>
        <v>0</v>
      </c>
      <c r="R332" s="8">
        <f>Table810[[#This Row],[rt_pairing_score]]-Table810[[#This Row],[acc_pairing_score]]</f>
        <v>-12.030142000000069</v>
      </c>
    </row>
    <row r="333" spans="1:18" x14ac:dyDescent="0.25">
      <c r="A333" t="s">
        <v>329</v>
      </c>
      <c r="B333" s="1">
        <v>1599.553191</v>
      </c>
      <c r="C333" s="1">
        <v>640.57419240000002</v>
      </c>
      <c r="D333" s="1">
        <v>0.97872340400000002</v>
      </c>
      <c r="E333" s="1">
        <v>0.145864991</v>
      </c>
      <c r="F333" s="1">
        <v>372</v>
      </c>
      <c r="G333" s="1">
        <v>1934.895833</v>
      </c>
      <c r="H333" s="1">
        <v>529.25564910000003</v>
      </c>
      <c r="I333" s="1">
        <v>0.97916666699999999</v>
      </c>
      <c r="J333" s="1">
        <v>0.144337567</v>
      </c>
      <c r="K333" s="1">
        <f>(B333+Table810[[#This Row],[grt]])/2</f>
        <v>1767.224512</v>
      </c>
      <c r="L333" s="1">
        <f>(Table810[[#This Row],[prtsd]]+Table810[[#This Row],[grtsd]])/2</f>
        <v>584.91492074999996</v>
      </c>
      <c r="M333" s="1">
        <f>(Table810[[#This Row],[pacc]]+Table810[[#This Row],[gacc]])/2</f>
        <v>0.9789450355</v>
      </c>
      <c r="N333" s="1">
        <f>(Table810[[#This Row],[paccsd]]+Table810[[#This Row],[gaccsd]])/2</f>
        <v>0.145101279</v>
      </c>
      <c r="O333">
        <f>Table810[[#This Row],[mrt]]-(Table810[[#This Row],[macc]]*1000)</f>
        <v>788.27947649999999</v>
      </c>
      <c r="P333" s="9">
        <f>(Table810[[#This Row],[prt]]-Table810[[#This Row],[grt]])</f>
        <v>-335.34264200000007</v>
      </c>
      <c r="Q333" s="8">
        <f>Table810[[#This Row],[pacc]]-Table810[[#This Row],[gacc]]</f>
        <v>-4.4326299999997154E-4</v>
      </c>
      <c r="R333" s="8">
        <f>Table810[[#This Row],[rt_pairing_score]]-Table810[[#This Row],[acc_pairing_score]]</f>
        <v>-335.34219873700005</v>
      </c>
    </row>
    <row r="334" spans="1:18" x14ac:dyDescent="0.25">
      <c r="A334" t="s">
        <v>352</v>
      </c>
      <c r="B334" s="1">
        <v>1744.66</v>
      </c>
      <c r="C334" s="1">
        <v>587.31042479999996</v>
      </c>
      <c r="D334" s="1">
        <v>0.98</v>
      </c>
      <c r="E334" s="1">
        <v>0.141421356</v>
      </c>
      <c r="F334" s="1">
        <v>154</v>
      </c>
      <c r="G334" s="1">
        <v>1747.1702130000001</v>
      </c>
      <c r="H334" s="1">
        <v>589.04773260000002</v>
      </c>
      <c r="I334" s="1">
        <v>0.9375</v>
      </c>
      <c r="J334" s="1">
        <v>0.24462302699999999</v>
      </c>
      <c r="K334" s="1">
        <f>(B334+Table810[[#This Row],[grt]])/2</f>
        <v>1745.9151065000001</v>
      </c>
      <c r="L334" s="1">
        <f>(Table810[[#This Row],[prtsd]]+Table810[[#This Row],[grtsd]])/2</f>
        <v>588.17907869999999</v>
      </c>
      <c r="M334" s="1">
        <f>(Table810[[#This Row],[pacc]]+Table810[[#This Row],[gacc]])/2</f>
        <v>0.95874999999999999</v>
      </c>
      <c r="N334" s="1">
        <f>(Table810[[#This Row],[paccsd]]+Table810[[#This Row],[gaccsd]])/2</f>
        <v>0.1930221915</v>
      </c>
      <c r="O334">
        <f>Table810[[#This Row],[mrt]]-(Table810[[#This Row],[macc]]*1000)</f>
        <v>787.16510650000009</v>
      </c>
      <c r="P334" s="9">
        <f>(Table810[[#This Row],[prt]]-Table810[[#This Row],[grt]])</f>
        <v>-2.5102130000000216</v>
      </c>
      <c r="Q334" s="8">
        <f>Table810[[#This Row],[pacc]]-Table810[[#This Row],[gacc]]</f>
        <v>4.2499999999999982E-2</v>
      </c>
      <c r="R334" s="8">
        <f>Table810[[#This Row],[rt_pairing_score]]-Table810[[#This Row],[acc_pairing_score]]</f>
        <v>-2.5527130000000215</v>
      </c>
    </row>
    <row r="335" spans="1:18" x14ac:dyDescent="0.25">
      <c r="A335" t="s">
        <v>279</v>
      </c>
      <c r="B335" s="1">
        <v>1731.061224</v>
      </c>
      <c r="C335" s="1">
        <v>634.982395</v>
      </c>
      <c r="D335" s="1">
        <v>0.95918367299999996</v>
      </c>
      <c r="E335" s="1">
        <v>0.19991494800000001</v>
      </c>
      <c r="F335" s="1">
        <v>62</v>
      </c>
      <c r="G335" s="1">
        <v>1760.791667</v>
      </c>
      <c r="H335" s="1">
        <v>636.58590560000005</v>
      </c>
      <c r="I335" s="1">
        <v>0.97916666699999999</v>
      </c>
      <c r="J335" s="1">
        <v>0.144337567</v>
      </c>
      <c r="K335" s="1">
        <f>(B335+Table810[[#This Row],[grt]])/2</f>
        <v>1745.9264455</v>
      </c>
      <c r="L335" s="1">
        <f>(Table810[[#This Row],[prtsd]]+Table810[[#This Row],[grtsd]])/2</f>
        <v>635.78415029999996</v>
      </c>
      <c r="M335" s="1">
        <f>(Table810[[#This Row],[pacc]]+Table810[[#This Row],[gacc]])/2</f>
        <v>0.96917516999999997</v>
      </c>
      <c r="N335" s="1">
        <f>(Table810[[#This Row],[paccsd]]+Table810[[#This Row],[gaccsd]])/2</f>
        <v>0.17212625749999999</v>
      </c>
      <c r="O335">
        <f>Table810[[#This Row],[mrt]]-(Table810[[#This Row],[macc]]*1000)</f>
        <v>776.75127550000002</v>
      </c>
      <c r="P335" s="9">
        <f>(Table810[[#This Row],[prt]]-Table810[[#This Row],[grt]])</f>
        <v>-29.730442999999923</v>
      </c>
      <c r="Q335" s="8">
        <f>Table810[[#This Row],[pacc]]-Table810[[#This Row],[gacc]]</f>
        <v>-1.9982994000000032E-2</v>
      </c>
      <c r="R335" s="8">
        <f>Table810[[#This Row],[rt_pairing_score]]-Table810[[#This Row],[acc_pairing_score]]</f>
        <v>-29.710460005999924</v>
      </c>
    </row>
    <row r="336" spans="1:18" x14ac:dyDescent="0.25">
      <c r="A336" t="s">
        <v>359</v>
      </c>
      <c r="B336" s="1">
        <v>1641.38</v>
      </c>
      <c r="C336" s="1">
        <v>581.49216539999998</v>
      </c>
      <c r="D336" s="1">
        <v>0.98</v>
      </c>
      <c r="E336" s="1">
        <v>0.141421356</v>
      </c>
      <c r="F336" s="1">
        <v>405</v>
      </c>
      <c r="G336" s="1">
        <v>1845.489362</v>
      </c>
      <c r="H336" s="1">
        <v>530.09744269999999</v>
      </c>
      <c r="I336" s="1">
        <v>0.95744680900000001</v>
      </c>
      <c r="J336" s="1">
        <v>0.204029709</v>
      </c>
      <c r="K336" s="1">
        <f>(B336+Table810[[#This Row],[grt]])/2</f>
        <v>1743.4346810000002</v>
      </c>
      <c r="L336" s="1">
        <f>(Table810[[#This Row],[prtsd]]+Table810[[#This Row],[grtsd]])/2</f>
        <v>555.79480405000004</v>
      </c>
      <c r="M336" s="1">
        <f>(Table810[[#This Row],[pacc]]+Table810[[#This Row],[gacc]])/2</f>
        <v>0.96872340449999994</v>
      </c>
      <c r="N336" s="1">
        <f>(Table810[[#This Row],[paccsd]]+Table810[[#This Row],[gaccsd]])/2</f>
        <v>0.1727255325</v>
      </c>
      <c r="O336">
        <f>Table810[[#This Row],[mrt]]-(Table810[[#This Row],[macc]]*1000)</f>
        <v>774.71127650000028</v>
      </c>
      <c r="P336" s="9">
        <f>(Table810[[#This Row],[prt]]-Table810[[#This Row],[grt]])</f>
        <v>-204.10936199999992</v>
      </c>
      <c r="Q336" s="8">
        <f>Table810[[#This Row],[pacc]]-Table810[[#This Row],[gacc]]</f>
        <v>2.2553190999999972E-2</v>
      </c>
      <c r="R336" s="8">
        <f>Table810[[#This Row],[rt_pairing_score]]-Table810[[#This Row],[acc_pairing_score]]</f>
        <v>-204.13191519099991</v>
      </c>
    </row>
    <row r="337" spans="1:18" x14ac:dyDescent="0.25">
      <c r="A337" t="s">
        <v>385</v>
      </c>
      <c r="B337" s="1">
        <v>1745.2244900000001</v>
      </c>
      <c r="C337" s="1">
        <v>551.28906759999995</v>
      </c>
      <c r="D337" s="1">
        <v>1</v>
      </c>
      <c r="E337" s="1">
        <v>0</v>
      </c>
      <c r="F337" s="1">
        <v>43</v>
      </c>
      <c r="G337" s="1">
        <v>1755.1875</v>
      </c>
      <c r="H337" s="1">
        <v>556.53363560000003</v>
      </c>
      <c r="I337" s="1">
        <v>0.95833333300000001</v>
      </c>
      <c r="J337" s="1">
        <v>0.20194093699999999</v>
      </c>
      <c r="K337" s="1">
        <f>(B337+Table810[[#This Row],[grt]])/2</f>
        <v>1750.205995</v>
      </c>
      <c r="L337" s="1">
        <f>(Table810[[#This Row],[prtsd]]+Table810[[#This Row],[grtsd]])/2</f>
        <v>553.91135159999999</v>
      </c>
      <c r="M337" s="1">
        <f>(Table810[[#This Row],[pacc]]+Table810[[#This Row],[gacc]])/2</f>
        <v>0.97916666650000006</v>
      </c>
      <c r="N337" s="1">
        <f>(Table810[[#This Row],[paccsd]]+Table810[[#This Row],[gaccsd]])/2</f>
        <v>0.10097046849999999</v>
      </c>
      <c r="O337">
        <f>Table810[[#This Row],[mrt]]-(Table810[[#This Row],[macc]]*1000)</f>
        <v>771.03932850000001</v>
      </c>
      <c r="P337" s="9">
        <f>(Table810[[#This Row],[prt]]-Table810[[#This Row],[grt]])</f>
        <v>-9.9630099999999402</v>
      </c>
      <c r="Q337" s="8">
        <f>Table810[[#This Row],[pacc]]-Table810[[#This Row],[gacc]]</f>
        <v>4.1666666999999991E-2</v>
      </c>
      <c r="R337" s="8">
        <f>Table810[[#This Row],[rt_pairing_score]]-Table810[[#This Row],[acc_pairing_score]]</f>
        <v>-10.00467666699994</v>
      </c>
    </row>
    <row r="338" spans="1:18" x14ac:dyDescent="0.25">
      <c r="A338" t="s">
        <v>328</v>
      </c>
      <c r="B338" s="1">
        <v>1618.1020410000001</v>
      </c>
      <c r="C338" s="1">
        <v>591.83866909999995</v>
      </c>
      <c r="D338" s="1">
        <v>0.96</v>
      </c>
      <c r="E338" s="1">
        <v>0.197948664</v>
      </c>
      <c r="F338" s="1">
        <v>473</v>
      </c>
      <c r="G338" s="1">
        <v>1785.8297869999999</v>
      </c>
      <c r="H338" s="1">
        <v>512.90198740000005</v>
      </c>
      <c r="I338" s="1">
        <v>0.91666666699999999</v>
      </c>
      <c r="J338" s="1">
        <v>0.27931019400000001</v>
      </c>
      <c r="K338" s="1">
        <f>(B338+Table810[[#This Row],[grt]])/2</f>
        <v>1701.9659139999999</v>
      </c>
      <c r="L338" s="1">
        <f>(Table810[[#This Row],[prtsd]]+Table810[[#This Row],[grtsd]])/2</f>
        <v>552.37032825000006</v>
      </c>
      <c r="M338" s="1">
        <f>(Table810[[#This Row],[pacc]]+Table810[[#This Row],[gacc]])/2</f>
        <v>0.93833333349999992</v>
      </c>
      <c r="N338" s="1">
        <f>(Table810[[#This Row],[paccsd]]+Table810[[#This Row],[gaccsd]])/2</f>
        <v>0.238629429</v>
      </c>
      <c r="O338">
        <f>Table810[[#This Row],[mrt]]-(Table810[[#This Row],[macc]]*1000)</f>
        <v>763.63258050000002</v>
      </c>
      <c r="P338" s="9">
        <f>(Table810[[#This Row],[prt]]-Table810[[#This Row],[grt]])</f>
        <v>-167.7277459999998</v>
      </c>
      <c r="Q338" s="8">
        <f>Table810[[#This Row],[pacc]]-Table810[[#This Row],[gacc]]</f>
        <v>4.3333332999999974E-2</v>
      </c>
      <c r="R338" s="8">
        <f>Table810[[#This Row],[rt_pairing_score]]-Table810[[#This Row],[acc_pairing_score]]</f>
        <v>-167.77107933299979</v>
      </c>
    </row>
    <row r="339" spans="1:18" x14ac:dyDescent="0.25">
      <c r="A339" t="s">
        <v>364</v>
      </c>
      <c r="B339" s="1">
        <v>1712.56</v>
      </c>
      <c r="C339" s="1">
        <v>516.09246759999996</v>
      </c>
      <c r="D339" s="1">
        <v>0.98</v>
      </c>
      <c r="E339" s="1">
        <v>0.141421356</v>
      </c>
      <c r="F339" s="1">
        <v>40</v>
      </c>
      <c r="G339" s="1">
        <v>1730.085106</v>
      </c>
      <c r="H339" s="1">
        <v>512.29135010000005</v>
      </c>
      <c r="I339" s="1">
        <v>0.93617021300000003</v>
      </c>
      <c r="J339" s="1">
        <v>0.24709224799999999</v>
      </c>
      <c r="K339" s="1">
        <f>(B339+Table810[[#This Row],[grt]])/2</f>
        <v>1721.322553</v>
      </c>
      <c r="L339" s="1">
        <f>(Table810[[#This Row],[prtsd]]+Table810[[#This Row],[grtsd]])/2</f>
        <v>514.19190885</v>
      </c>
      <c r="M339" s="1">
        <f>(Table810[[#This Row],[pacc]]+Table810[[#This Row],[gacc]])/2</f>
        <v>0.95808510650000001</v>
      </c>
      <c r="N339" s="1">
        <f>(Table810[[#This Row],[paccsd]]+Table810[[#This Row],[gaccsd]])/2</f>
        <v>0.19425680200000001</v>
      </c>
      <c r="O339">
        <f>Table810[[#This Row],[mrt]]-(Table810[[#This Row],[macc]]*1000)</f>
        <v>763.23744649999992</v>
      </c>
      <c r="P339" s="9">
        <f>(Table810[[#This Row],[prt]]-Table810[[#This Row],[grt]])</f>
        <v>-17.525106000000051</v>
      </c>
      <c r="Q339" s="8">
        <f>Table810[[#This Row],[pacc]]-Table810[[#This Row],[gacc]]</f>
        <v>4.3829786999999953E-2</v>
      </c>
      <c r="R339" s="8">
        <f>Table810[[#This Row],[rt_pairing_score]]-Table810[[#This Row],[acc_pairing_score]]</f>
        <v>-17.568935787000051</v>
      </c>
    </row>
    <row r="340" spans="1:18" x14ac:dyDescent="0.25">
      <c r="A340" t="s">
        <v>167</v>
      </c>
      <c r="B340" s="1">
        <v>1714.583333</v>
      </c>
      <c r="C340" s="1">
        <v>696.64707120000003</v>
      </c>
      <c r="D340" s="1">
        <v>0.89583333300000001</v>
      </c>
      <c r="E340" s="1">
        <v>0.30870927799999998</v>
      </c>
      <c r="F340" s="1">
        <v>100</v>
      </c>
      <c r="G340" s="1">
        <v>1707.479167</v>
      </c>
      <c r="H340" s="1">
        <v>695.1758691</v>
      </c>
      <c r="I340" s="1">
        <v>1</v>
      </c>
      <c r="J340" s="1">
        <v>0</v>
      </c>
      <c r="K340" s="1">
        <f>(B340+Table810[[#This Row],[grt]])/2</f>
        <v>1711.03125</v>
      </c>
      <c r="L340" s="1">
        <f>(Table810[[#This Row],[prtsd]]+Table810[[#This Row],[grtsd]])/2</f>
        <v>695.91147015000001</v>
      </c>
      <c r="M340" s="1">
        <f>(Table810[[#This Row],[pacc]]+Table810[[#This Row],[gacc]])/2</f>
        <v>0.94791666650000006</v>
      </c>
      <c r="N340" s="1">
        <f>(Table810[[#This Row],[paccsd]]+Table810[[#This Row],[gaccsd]])/2</f>
        <v>0.15435463899999999</v>
      </c>
      <c r="O340">
        <f>Table810[[#This Row],[mrt]]-(Table810[[#This Row],[macc]]*1000)</f>
        <v>763.11458349999998</v>
      </c>
      <c r="P340" s="9">
        <f>(Table810[[#This Row],[prt]]-Table810[[#This Row],[grt]])</f>
        <v>7.1041660000000775</v>
      </c>
      <c r="Q340" s="8">
        <f>Table810[[#This Row],[pacc]]-Table810[[#This Row],[gacc]]</f>
        <v>-0.10416666699999999</v>
      </c>
      <c r="R340" s="8">
        <f>Table810[[#This Row],[rt_pairing_score]]-Table810[[#This Row],[acc_pairing_score]]</f>
        <v>7.2083326670000778</v>
      </c>
    </row>
    <row r="341" spans="1:18" x14ac:dyDescent="0.25">
      <c r="A341" t="s">
        <v>298</v>
      </c>
      <c r="B341" s="1">
        <v>1723.270833</v>
      </c>
      <c r="C341" s="1">
        <v>533.28786439999999</v>
      </c>
      <c r="D341" s="1">
        <v>0.95918367299999996</v>
      </c>
      <c r="E341" s="1">
        <v>0.19991494800000001</v>
      </c>
      <c r="F341" s="1">
        <v>409</v>
      </c>
      <c r="G341" s="1">
        <v>1754.958333</v>
      </c>
      <c r="H341" s="1">
        <v>522.28328329999999</v>
      </c>
      <c r="I341" s="1">
        <v>1</v>
      </c>
      <c r="J341" s="1">
        <v>0</v>
      </c>
      <c r="K341" s="1">
        <f>(B341+Table810[[#This Row],[grt]])/2</f>
        <v>1739.114583</v>
      </c>
      <c r="L341" s="1">
        <f>(Table810[[#This Row],[prtsd]]+Table810[[#This Row],[grtsd]])/2</f>
        <v>527.78557384999999</v>
      </c>
      <c r="M341" s="1">
        <f>(Table810[[#This Row],[pacc]]+Table810[[#This Row],[gacc]])/2</f>
        <v>0.97959183650000003</v>
      </c>
      <c r="N341" s="1">
        <f>(Table810[[#This Row],[paccsd]]+Table810[[#This Row],[gaccsd]])/2</f>
        <v>9.9957474000000004E-2</v>
      </c>
      <c r="O341">
        <f>Table810[[#This Row],[mrt]]-(Table810[[#This Row],[macc]]*1000)</f>
        <v>759.52274650000004</v>
      </c>
      <c r="P341" s="9">
        <f>(Table810[[#This Row],[prt]]-Table810[[#This Row],[grt]])</f>
        <v>-31.6875</v>
      </c>
      <c r="Q341" s="8">
        <f>Table810[[#This Row],[pacc]]-Table810[[#This Row],[gacc]]</f>
        <v>-4.0816327000000041E-2</v>
      </c>
      <c r="R341" s="8">
        <f>Table810[[#This Row],[rt_pairing_score]]-Table810[[#This Row],[acc_pairing_score]]</f>
        <v>-31.646683672999998</v>
      </c>
    </row>
    <row r="342" spans="1:18" x14ac:dyDescent="0.25">
      <c r="A342" t="s">
        <v>308</v>
      </c>
      <c r="B342" s="1">
        <v>1678.2448979999999</v>
      </c>
      <c r="C342" s="1">
        <v>473.60310079999999</v>
      </c>
      <c r="D342" s="1">
        <v>0.96</v>
      </c>
      <c r="E342" s="1">
        <v>0.197948664</v>
      </c>
      <c r="F342" s="1">
        <v>4</v>
      </c>
      <c r="G342" s="1">
        <v>1730.0625</v>
      </c>
      <c r="H342" s="1">
        <v>472.72147380000001</v>
      </c>
      <c r="I342" s="1">
        <v>0.9375</v>
      </c>
      <c r="J342" s="1">
        <v>0.24462302699999999</v>
      </c>
      <c r="K342" s="1">
        <f>(B342+Table810[[#This Row],[grt]])/2</f>
        <v>1704.153699</v>
      </c>
      <c r="L342" s="1">
        <f>(Table810[[#This Row],[prtsd]]+Table810[[#This Row],[grtsd]])/2</f>
        <v>473.1622873</v>
      </c>
      <c r="M342" s="1">
        <f>(Table810[[#This Row],[pacc]]+Table810[[#This Row],[gacc]])/2</f>
        <v>0.94874999999999998</v>
      </c>
      <c r="N342" s="1">
        <f>(Table810[[#This Row],[paccsd]]+Table810[[#This Row],[gaccsd]])/2</f>
        <v>0.22128584549999999</v>
      </c>
      <c r="O342">
        <f>Table810[[#This Row],[mrt]]-(Table810[[#This Row],[macc]]*1000)</f>
        <v>755.40369899999996</v>
      </c>
      <c r="P342" s="9">
        <f>(Table810[[#This Row],[prt]]-Table810[[#This Row],[grt]])</f>
        <v>-51.817602000000079</v>
      </c>
      <c r="Q342" s="8">
        <f>Table810[[#This Row],[pacc]]-Table810[[#This Row],[gacc]]</f>
        <v>2.2499999999999964E-2</v>
      </c>
      <c r="R342" s="8">
        <f>Table810[[#This Row],[rt_pairing_score]]-Table810[[#This Row],[acc_pairing_score]]</f>
        <v>-51.84010200000008</v>
      </c>
    </row>
    <row r="343" spans="1:18" x14ac:dyDescent="0.25">
      <c r="A343" t="s">
        <v>365</v>
      </c>
      <c r="B343" s="1">
        <v>1760.9</v>
      </c>
      <c r="C343" s="1">
        <v>669.92498060000003</v>
      </c>
      <c r="D343" s="1">
        <v>0.98</v>
      </c>
      <c r="E343" s="1">
        <v>0.141421356</v>
      </c>
      <c r="F343" s="1">
        <v>75</v>
      </c>
      <c r="G343" s="1">
        <v>1724.851064</v>
      </c>
      <c r="H343" s="1">
        <v>676.14987340000005</v>
      </c>
      <c r="I343" s="1">
        <v>1</v>
      </c>
      <c r="J343" s="1">
        <v>0</v>
      </c>
      <c r="K343" s="1">
        <f>(B343+Table810[[#This Row],[grt]])/2</f>
        <v>1742.875532</v>
      </c>
      <c r="L343" s="1">
        <f>(Table810[[#This Row],[prtsd]]+Table810[[#This Row],[grtsd]])/2</f>
        <v>673.03742699999998</v>
      </c>
      <c r="M343" s="1">
        <f>(Table810[[#This Row],[pacc]]+Table810[[#This Row],[gacc]])/2</f>
        <v>0.99</v>
      </c>
      <c r="N343" s="1">
        <f>(Table810[[#This Row],[paccsd]]+Table810[[#This Row],[gaccsd]])/2</f>
        <v>7.0710677999999999E-2</v>
      </c>
      <c r="O343">
        <f>Table810[[#This Row],[mrt]]-(Table810[[#This Row],[macc]]*1000)</f>
        <v>752.87553200000002</v>
      </c>
      <c r="P343" s="9">
        <f>(Table810[[#This Row],[prt]]-Table810[[#This Row],[grt]])</f>
        <v>36.04893600000014</v>
      </c>
      <c r="Q343" s="8">
        <f>Table810[[#This Row],[pacc]]-Table810[[#This Row],[gacc]]</f>
        <v>-2.0000000000000018E-2</v>
      </c>
      <c r="R343" s="8">
        <f>Table810[[#This Row],[rt_pairing_score]]-Table810[[#This Row],[acc_pairing_score]]</f>
        <v>36.068936000000143</v>
      </c>
    </row>
    <row r="344" spans="1:18" x14ac:dyDescent="0.25">
      <c r="A344" t="s">
        <v>278</v>
      </c>
      <c r="B344" s="1">
        <v>1624.4897960000001</v>
      </c>
      <c r="C344" s="1">
        <v>543.29143969999996</v>
      </c>
      <c r="D344" s="1">
        <v>0.95918367299999996</v>
      </c>
      <c r="E344" s="1">
        <v>0.19991494800000001</v>
      </c>
      <c r="F344" s="1">
        <v>240</v>
      </c>
      <c r="G344" s="1">
        <v>1787.553191</v>
      </c>
      <c r="H344" s="1">
        <v>527.57743340000002</v>
      </c>
      <c r="I344" s="1">
        <v>0.95744680900000001</v>
      </c>
      <c r="J344" s="1">
        <v>0.204029709</v>
      </c>
      <c r="K344" s="1">
        <f>(B344+Table810[[#This Row],[grt]])/2</f>
        <v>1706.0214934999999</v>
      </c>
      <c r="L344" s="1">
        <f>(Table810[[#This Row],[prtsd]]+Table810[[#This Row],[grtsd]])/2</f>
        <v>535.43443654999999</v>
      </c>
      <c r="M344" s="1">
        <f>(Table810[[#This Row],[pacc]]+Table810[[#This Row],[gacc]])/2</f>
        <v>0.95831524099999998</v>
      </c>
      <c r="N344" s="1">
        <f>(Table810[[#This Row],[paccsd]]+Table810[[#This Row],[gaccsd]])/2</f>
        <v>0.20197232850000002</v>
      </c>
      <c r="O344">
        <f>Table810[[#This Row],[mrt]]-(Table810[[#This Row],[macc]]*1000)</f>
        <v>747.70625249999989</v>
      </c>
      <c r="P344" s="9">
        <f>(Table810[[#This Row],[prt]]-Table810[[#This Row],[grt]])</f>
        <v>-163.0633949999999</v>
      </c>
      <c r="Q344" s="8">
        <f>Table810[[#This Row],[pacc]]-Table810[[#This Row],[gacc]]</f>
        <v>1.7368639999999491E-3</v>
      </c>
      <c r="R344" s="8">
        <f>Table810[[#This Row],[rt_pairing_score]]-Table810[[#This Row],[acc_pairing_score]]</f>
        <v>-163.06513186399991</v>
      </c>
    </row>
    <row r="345" spans="1:18" x14ac:dyDescent="0.25">
      <c r="A345" t="s">
        <v>382</v>
      </c>
      <c r="B345" s="1">
        <v>1738.76</v>
      </c>
      <c r="C345" s="1">
        <v>581.62788999999998</v>
      </c>
      <c r="D345" s="1">
        <v>1</v>
      </c>
      <c r="E345" s="1">
        <v>0</v>
      </c>
      <c r="F345" s="1">
        <v>86</v>
      </c>
      <c r="G345" s="1">
        <v>1713.2765959999999</v>
      </c>
      <c r="H345" s="1">
        <v>579.07312379999996</v>
      </c>
      <c r="I345" s="1">
        <v>0.95744680900000001</v>
      </c>
      <c r="J345" s="1">
        <v>0.204029709</v>
      </c>
      <c r="K345" s="1">
        <f>(B345+Table810[[#This Row],[grt]])/2</f>
        <v>1726.018298</v>
      </c>
      <c r="L345" s="1">
        <f>(Table810[[#This Row],[prtsd]]+Table810[[#This Row],[grtsd]])/2</f>
        <v>580.35050690000003</v>
      </c>
      <c r="M345" s="1">
        <f>(Table810[[#This Row],[pacc]]+Table810[[#This Row],[gacc]])/2</f>
        <v>0.97872340449999995</v>
      </c>
      <c r="N345" s="1">
        <f>(Table810[[#This Row],[paccsd]]+Table810[[#This Row],[gaccsd]])/2</f>
        <v>0.1020148545</v>
      </c>
      <c r="O345">
        <f>Table810[[#This Row],[mrt]]-(Table810[[#This Row],[macc]]*1000)</f>
        <v>747.29489350000006</v>
      </c>
      <c r="P345" s="9">
        <f>(Table810[[#This Row],[prt]]-Table810[[#This Row],[grt]])</f>
        <v>25.483404000000064</v>
      </c>
      <c r="Q345" s="8">
        <f>Table810[[#This Row],[pacc]]-Table810[[#This Row],[gacc]]</f>
        <v>4.255319099999999E-2</v>
      </c>
      <c r="R345" s="8">
        <f>Table810[[#This Row],[rt_pairing_score]]-Table810[[#This Row],[acc_pairing_score]]</f>
        <v>25.440850809000064</v>
      </c>
    </row>
    <row r="346" spans="1:18" x14ac:dyDescent="0.25">
      <c r="A346" t="s">
        <v>292</v>
      </c>
      <c r="B346" s="1">
        <v>1690.346939</v>
      </c>
      <c r="C346" s="1">
        <v>449.31649720000001</v>
      </c>
      <c r="D346" s="1">
        <v>0.95918367299999996</v>
      </c>
      <c r="E346" s="1">
        <v>0.19991494800000001</v>
      </c>
      <c r="F346" s="1">
        <v>244</v>
      </c>
      <c r="G346" s="1">
        <v>1712.574468</v>
      </c>
      <c r="H346" s="1">
        <v>452.36118429999999</v>
      </c>
      <c r="I346" s="1">
        <v>0.95744680900000001</v>
      </c>
      <c r="J346" s="1">
        <v>0.204029709</v>
      </c>
      <c r="K346" s="1">
        <f>(B346+Table810[[#This Row],[grt]])/2</f>
        <v>1701.4607034999999</v>
      </c>
      <c r="L346" s="1">
        <f>(Table810[[#This Row],[prtsd]]+Table810[[#This Row],[grtsd]])/2</f>
        <v>450.83884075000003</v>
      </c>
      <c r="M346" s="1">
        <f>(Table810[[#This Row],[pacc]]+Table810[[#This Row],[gacc]])/2</f>
        <v>0.95831524099999998</v>
      </c>
      <c r="N346" s="1">
        <f>(Table810[[#This Row],[paccsd]]+Table810[[#This Row],[gaccsd]])/2</f>
        <v>0.20197232850000002</v>
      </c>
      <c r="O346">
        <f>Table810[[#This Row],[mrt]]-(Table810[[#This Row],[macc]]*1000)</f>
        <v>743.14546249999989</v>
      </c>
      <c r="P346" s="9">
        <f>(Table810[[#This Row],[prt]]-Table810[[#This Row],[grt]])</f>
        <v>-22.227529000000004</v>
      </c>
      <c r="Q346" s="8">
        <f>Table810[[#This Row],[pacc]]-Table810[[#This Row],[gacc]]</f>
        <v>1.7368639999999491E-3</v>
      </c>
      <c r="R346" s="8">
        <f>Table810[[#This Row],[rt_pairing_score]]-Table810[[#This Row],[acc_pairing_score]]</f>
        <v>-22.229265864000006</v>
      </c>
    </row>
    <row r="347" spans="1:18" x14ac:dyDescent="0.25">
      <c r="A347" t="s">
        <v>383</v>
      </c>
      <c r="B347" s="1">
        <v>1663.86</v>
      </c>
      <c r="C347" s="1">
        <v>526.95536770000001</v>
      </c>
      <c r="D347" s="1">
        <v>1</v>
      </c>
      <c r="E347" s="1">
        <v>0</v>
      </c>
      <c r="F347" s="1">
        <v>103</v>
      </c>
      <c r="G347" s="1">
        <v>1757.042553</v>
      </c>
      <c r="H347" s="1">
        <v>504.01781190000003</v>
      </c>
      <c r="I347" s="1">
        <v>0.93617021300000003</v>
      </c>
      <c r="J347" s="1">
        <v>0.24709224799999999</v>
      </c>
      <c r="K347" s="1">
        <f>(B347+Table810[[#This Row],[grt]])/2</f>
        <v>1710.4512764999999</v>
      </c>
      <c r="L347" s="1">
        <f>(Table810[[#This Row],[prtsd]]+Table810[[#This Row],[grtsd]])/2</f>
        <v>515.48658980000005</v>
      </c>
      <c r="M347" s="1">
        <f>(Table810[[#This Row],[pacc]]+Table810[[#This Row],[gacc]])/2</f>
        <v>0.96808510650000001</v>
      </c>
      <c r="N347" s="1">
        <f>(Table810[[#This Row],[paccsd]]+Table810[[#This Row],[gaccsd]])/2</f>
        <v>0.12354612399999999</v>
      </c>
      <c r="O347">
        <f>Table810[[#This Row],[mrt]]-(Table810[[#This Row],[macc]]*1000)</f>
        <v>742.3661699999999</v>
      </c>
      <c r="P347" s="9">
        <f>(Table810[[#This Row],[prt]]-Table810[[#This Row],[grt]])</f>
        <v>-93.182553000000098</v>
      </c>
      <c r="Q347" s="8">
        <f>Table810[[#This Row],[pacc]]-Table810[[#This Row],[gacc]]</f>
        <v>6.3829786999999971E-2</v>
      </c>
      <c r="R347" s="8">
        <f>Table810[[#This Row],[rt_pairing_score]]-Table810[[#This Row],[acc_pairing_score]]</f>
        <v>-93.246382787000101</v>
      </c>
    </row>
    <row r="348" spans="1:18" x14ac:dyDescent="0.25">
      <c r="A348" t="s">
        <v>174</v>
      </c>
      <c r="B348" s="1">
        <v>1667.833333</v>
      </c>
      <c r="C348" s="1">
        <v>485.94147850000002</v>
      </c>
      <c r="D348" s="1">
        <v>0.89795918399999997</v>
      </c>
      <c r="E348" s="1">
        <v>0.30583887100000001</v>
      </c>
      <c r="F348" s="1">
        <v>230</v>
      </c>
      <c r="G348" s="1">
        <v>1662.333333</v>
      </c>
      <c r="H348" s="1">
        <v>487.6305863</v>
      </c>
      <c r="I348" s="1">
        <v>0.95833333300000001</v>
      </c>
      <c r="J348" s="1">
        <v>0.20194093699999999</v>
      </c>
      <c r="K348" s="1">
        <f>(B348+Table810[[#This Row],[grt]])/2</f>
        <v>1665.083333</v>
      </c>
      <c r="L348" s="1">
        <f>(Table810[[#This Row],[prtsd]]+Table810[[#This Row],[grtsd]])/2</f>
        <v>486.78603240000001</v>
      </c>
      <c r="M348" s="1">
        <f>(Table810[[#This Row],[pacc]]+Table810[[#This Row],[gacc]])/2</f>
        <v>0.92814625849999999</v>
      </c>
      <c r="N348" s="1">
        <f>(Table810[[#This Row],[paccsd]]+Table810[[#This Row],[gaccsd]])/2</f>
        <v>0.253889904</v>
      </c>
      <c r="O348">
        <f>Table810[[#This Row],[mrt]]-(Table810[[#This Row],[macc]]*1000)</f>
        <v>736.93707450000011</v>
      </c>
      <c r="P348" s="9">
        <f>(Table810[[#This Row],[prt]]-Table810[[#This Row],[grt]])</f>
        <v>5.5</v>
      </c>
      <c r="Q348" s="8">
        <f>Table810[[#This Row],[pacc]]-Table810[[#This Row],[gacc]]</f>
        <v>-6.0374149000000044E-2</v>
      </c>
      <c r="R348" s="8">
        <f>Table810[[#This Row],[rt_pairing_score]]-Table810[[#This Row],[acc_pairing_score]]</f>
        <v>5.5603741490000003</v>
      </c>
    </row>
    <row r="349" spans="1:18" x14ac:dyDescent="0.25">
      <c r="A349" t="s">
        <v>379</v>
      </c>
      <c r="B349" s="1">
        <v>1606.1632649999999</v>
      </c>
      <c r="C349" s="1">
        <v>640.22103430000004</v>
      </c>
      <c r="D349" s="1">
        <v>1</v>
      </c>
      <c r="E349" s="1">
        <v>0</v>
      </c>
      <c r="F349" s="1">
        <v>236</v>
      </c>
      <c r="G349" s="1">
        <v>1800.729167</v>
      </c>
      <c r="H349" s="1">
        <v>515.70665169999995</v>
      </c>
      <c r="I349" s="1">
        <v>0.9375</v>
      </c>
      <c r="J349" s="1">
        <v>0.24462302699999999</v>
      </c>
      <c r="K349" s="1">
        <f>(B349+Table810[[#This Row],[grt]])/2</f>
        <v>1703.4462159999998</v>
      </c>
      <c r="L349" s="1">
        <f>(Table810[[#This Row],[prtsd]]+Table810[[#This Row],[grtsd]])/2</f>
        <v>577.963843</v>
      </c>
      <c r="M349" s="1">
        <f>(Table810[[#This Row],[pacc]]+Table810[[#This Row],[gacc]])/2</f>
        <v>0.96875</v>
      </c>
      <c r="N349" s="1">
        <f>(Table810[[#This Row],[paccsd]]+Table810[[#This Row],[gaccsd]])/2</f>
        <v>0.1223115135</v>
      </c>
      <c r="O349">
        <f>Table810[[#This Row],[mrt]]-(Table810[[#This Row],[macc]]*1000)</f>
        <v>734.69621599999982</v>
      </c>
      <c r="P349" s="9">
        <f>(Table810[[#This Row],[prt]]-Table810[[#This Row],[grt]])</f>
        <v>-194.56590200000005</v>
      </c>
      <c r="Q349" s="8">
        <f>Table810[[#This Row],[pacc]]-Table810[[#This Row],[gacc]]</f>
        <v>6.25E-2</v>
      </c>
      <c r="R349" s="8">
        <f>Table810[[#This Row],[rt_pairing_score]]-Table810[[#This Row],[acc_pairing_score]]</f>
        <v>-194.62840200000005</v>
      </c>
    </row>
    <row r="350" spans="1:18" x14ac:dyDescent="0.25">
      <c r="A350" t="s">
        <v>323</v>
      </c>
      <c r="B350" s="1">
        <v>1600.42</v>
      </c>
      <c r="C350" s="1">
        <v>642.76672670000005</v>
      </c>
      <c r="D350" s="1">
        <v>0.96</v>
      </c>
      <c r="E350" s="1">
        <v>0.197948664</v>
      </c>
      <c r="F350" s="1">
        <v>622</v>
      </c>
      <c r="G350" s="1">
        <v>1786.8125</v>
      </c>
      <c r="H350" s="1">
        <v>495.6865712</v>
      </c>
      <c r="I350" s="1">
        <v>0.95833333300000001</v>
      </c>
      <c r="J350" s="1">
        <v>0.20194093699999999</v>
      </c>
      <c r="K350" s="1">
        <f>(B350+Table810[[#This Row],[grt]])/2</f>
        <v>1693.61625</v>
      </c>
      <c r="L350" s="1">
        <f>(Table810[[#This Row],[prtsd]]+Table810[[#This Row],[grtsd]])/2</f>
        <v>569.22664895000003</v>
      </c>
      <c r="M350" s="1">
        <f>(Table810[[#This Row],[pacc]]+Table810[[#This Row],[gacc]])/2</f>
        <v>0.95916666650000004</v>
      </c>
      <c r="N350" s="1">
        <f>(Table810[[#This Row],[paccsd]]+Table810[[#This Row],[gaccsd]])/2</f>
        <v>0.19994480049999999</v>
      </c>
      <c r="O350">
        <f>Table810[[#This Row],[mrt]]-(Table810[[#This Row],[macc]]*1000)</f>
        <v>734.44958350000002</v>
      </c>
      <c r="P350" s="9">
        <f>(Table810[[#This Row],[prt]]-Table810[[#This Row],[grt]])</f>
        <v>-186.39249999999993</v>
      </c>
      <c r="Q350" s="8">
        <f>Table810[[#This Row],[pacc]]-Table810[[#This Row],[gacc]]</f>
        <v>1.666666999999955E-3</v>
      </c>
      <c r="R350" s="8">
        <f>Table810[[#This Row],[rt_pairing_score]]-Table810[[#This Row],[acc_pairing_score]]</f>
        <v>-186.39416666699992</v>
      </c>
    </row>
    <row r="351" spans="1:18" x14ac:dyDescent="0.25">
      <c r="A351" t="s">
        <v>368</v>
      </c>
      <c r="B351" s="1">
        <v>1699.1</v>
      </c>
      <c r="C351" s="1">
        <v>552.86789399999998</v>
      </c>
      <c r="D351" s="1">
        <v>0.98</v>
      </c>
      <c r="E351" s="1">
        <v>0.141421356</v>
      </c>
      <c r="F351" s="1">
        <v>89</v>
      </c>
      <c r="G351" s="1">
        <v>1684.913043</v>
      </c>
      <c r="H351" s="1">
        <v>548.9270272</v>
      </c>
      <c r="I351" s="1">
        <v>0.93617021300000003</v>
      </c>
      <c r="J351" s="1">
        <v>0.24709224799999999</v>
      </c>
      <c r="K351" s="1">
        <f>(B351+Table810[[#This Row],[grt]])/2</f>
        <v>1692.0065215</v>
      </c>
      <c r="L351" s="1">
        <f>(Table810[[#This Row],[prtsd]]+Table810[[#This Row],[grtsd]])/2</f>
        <v>550.89746059999993</v>
      </c>
      <c r="M351" s="1">
        <f>(Table810[[#This Row],[pacc]]+Table810[[#This Row],[gacc]])/2</f>
        <v>0.95808510650000001</v>
      </c>
      <c r="N351" s="1">
        <f>(Table810[[#This Row],[paccsd]]+Table810[[#This Row],[gaccsd]])/2</f>
        <v>0.19425680200000001</v>
      </c>
      <c r="O351">
        <f>Table810[[#This Row],[mrt]]-(Table810[[#This Row],[macc]]*1000)</f>
        <v>733.92141499999991</v>
      </c>
      <c r="P351" s="9">
        <f>(Table810[[#This Row],[prt]]-Table810[[#This Row],[grt]])</f>
        <v>14.186956999999893</v>
      </c>
      <c r="Q351" s="8">
        <f>Table810[[#This Row],[pacc]]-Table810[[#This Row],[gacc]]</f>
        <v>4.3829786999999953E-2</v>
      </c>
      <c r="R351" s="8">
        <f>Table810[[#This Row],[rt_pairing_score]]-Table810[[#This Row],[acc_pairing_score]]</f>
        <v>14.143127212999893</v>
      </c>
    </row>
    <row r="352" spans="1:18" x14ac:dyDescent="0.25">
      <c r="A352" t="s">
        <v>265</v>
      </c>
      <c r="B352" s="1">
        <v>1684.1020410000001</v>
      </c>
      <c r="C352" s="1">
        <v>677.5962184</v>
      </c>
      <c r="D352" s="1">
        <v>0.94</v>
      </c>
      <c r="E352" s="1">
        <v>0.23989793700000001</v>
      </c>
      <c r="F352" s="1">
        <v>371</v>
      </c>
      <c r="G352" s="1">
        <v>1699.833333</v>
      </c>
      <c r="H352" s="1">
        <v>681.4832801</v>
      </c>
      <c r="I352" s="1">
        <v>0.97916666699999999</v>
      </c>
      <c r="J352" s="1">
        <v>0.144337567</v>
      </c>
      <c r="K352" s="1">
        <f>(B352+Table810[[#This Row],[grt]])/2</f>
        <v>1691.9676870000001</v>
      </c>
      <c r="L352" s="1">
        <f>(Table810[[#This Row],[prtsd]]+Table810[[#This Row],[grtsd]])/2</f>
        <v>679.53974925</v>
      </c>
      <c r="M352" s="1">
        <f>(Table810[[#This Row],[pacc]]+Table810[[#This Row],[gacc]])/2</f>
        <v>0.95958333349999991</v>
      </c>
      <c r="N352" s="1">
        <f>(Table810[[#This Row],[paccsd]]+Table810[[#This Row],[gaccsd]])/2</f>
        <v>0.192117752</v>
      </c>
      <c r="O352">
        <f>Table810[[#This Row],[mrt]]-(Table810[[#This Row],[macc]]*1000)</f>
        <v>732.3843535000002</v>
      </c>
      <c r="P352" s="9">
        <f>(Table810[[#This Row],[prt]]-Table810[[#This Row],[grt]])</f>
        <v>-15.731291999999939</v>
      </c>
      <c r="Q352" s="8">
        <f>Table810[[#This Row],[pacc]]-Table810[[#This Row],[gacc]]</f>
        <v>-3.9166667000000044E-2</v>
      </c>
      <c r="R352" s="8">
        <f>Table810[[#This Row],[rt_pairing_score]]-Table810[[#This Row],[acc_pairing_score]]</f>
        <v>-15.69212533299994</v>
      </c>
    </row>
    <row r="353" spans="1:18" x14ac:dyDescent="0.25">
      <c r="A353" t="s">
        <v>316</v>
      </c>
      <c r="B353" s="1">
        <v>1676.5510200000001</v>
      </c>
      <c r="C353" s="1">
        <v>479.34234729999997</v>
      </c>
      <c r="D353" s="1">
        <v>0.96</v>
      </c>
      <c r="E353" s="1">
        <v>0.197948664</v>
      </c>
      <c r="F353" s="1">
        <v>279</v>
      </c>
      <c r="G353" s="1">
        <v>1716.2765959999999</v>
      </c>
      <c r="H353" s="1">
        <v>479.39961099999999</v>
      </c>
      <c r="I353" s="1">
        <v>0.97872340400000002</v>
      </c>
      <c r="J353" s="1">
        <v>0.145864991</v>
      </c>
      <c r="K353" s="1">
        <f>(B353+Table810[[#This Row],[grt]])/2</f>
        <v>1696.413808</v>
      </c>
      <c r="L353" s="1">
        <f>(Table810[[#This Row],[prtsd]]+Table810[[#This Row],[grtsd]])/2</f>
        <v>479.37097914999998</v>
      </c>
      <c r="M353" s="1">
        <f>(Table810[[#This Row],[pacc]]+Table810[[#This Row],[gacc]])/2</f>
        <v>0.96936170200000005</v>
      </c>
      <c r="N353" s="1">
        <f>(Table810[[#This Row],[paccsd]]+Table810[[#This Row],[gaccsd]])/2</f>
        <v>0.1719068275</v>
      </c>
      <c r="O353">
        <f>Table810[[#This Row],[mrt]]-(Table810[[#This Row],[macc]]*1000)</f>
        <v>727.05210599999998</v>
      </c>
      <c r="P353" s="9">
        <f>(Table810[[#This Row],[prt]]-Table810[[#This Row],[grt]])</f>
        <v>-39.725575999999819</v>
      </c>
      <c r="Q353" s="8">
        <f>Table810[[#This Row],[pacc]]-Table810[[#This Row],[gacc]]</f>
        <v>-1.8723404000000055E-2</v>
      </c>
      <c r="R353" s="8">
        <f>Table810[[#This Row],[rt_pairing_score]]-Table810[[#This Row],[acc_pairing_score]]</f>
        <v>-39.70685259599982</v>
      </c>
    </row>
    <row r="354" spans="1:18" x14ac:dyDescent="0.25">
      <c r="A354" t="s">
        <v>306</v>
      </c>
      <c r="B354" s="1">
        <v>1639.734694</v>
      </c>
      <c r="C354" s="1">
        <v>510.35583070000001</v>
      </c>
      <c r="D354" s="1">
        <v>0.96</v>
      </c>
      <c r="E354" s="1">
        <v>0.197948664</v>
      </c>
      <c r="F354" s="1">
        <v>161</v>
      </c>
      <c r="G354" s="1">
        <v>1726.4565219999999</v>
      </c>
      <c r="H354" s="1">
        <v>496.6117064</v>
      </c>
      <c r="I354" s="1">
        <v>0.95744680900000001</v>
      </c>
      <c r="J354" s="1">
        <v>0.204029709</v>
      </c>
      <c r="K354" s="1">
        <f>(B354+Table810[[#This Row],[grt]])/2</f>
        <v>1683.0956080000001</v>
      </c>
      <c r="L354" s="1">
        <f>(Table810[[#This Row],[prtsd]]+Table810[[#This Row],[grtsd]])/2</f>
        <v>503.48376855000004</v>
      </c>
      <c r="M354" s="1">
        <f>(Table810[[#This Row],[pacc]]+Table810[[#This Row],[gacc]])/2</f>
        <v>0.95872340449999993</v>
      </c>
      <c r="N354" s="1">
        <f>(Table810[[#This Row],[paccsd]]+Table810[[#This Row],[gaccsd]])/2</f>
        <v>0.2009891865</v>
      </c>
      <c r="O354">
        <f>Table810[[#This Row],[mrt]]-(Table810[[#This Row],[macc]]*1000)</f>
        <v>724.37220350000018</v>
      </c>
      <c r="P354" s="9">
        <f>(Table810[[#This Row],[prt]]-Table810[[#This Row],[grt]])</f>
        <v>-86.72182799999996</v>
      </c>
      <c r="Q354" s="8">
        <f>Table810[[#This Row],[pacc]]-Table810[[#This Row],[gacc]]</f>
        <v>2.5531909999999547E-3</v>
      </c>
      <c r="R354" s="8">
        <f>Table810[[#This Row],[rt_pairing_score]]-Table810[[#This Row],[acc_pairing_score]]</f>
        <v>-86.724381190999964</v>
      </c>
    </row>
    <row r="355" spans="1:18" x14ac:dyDescent="0.25">
      <c r="A355" t="s">
        <v>334</v>
      </c>
      <c r="B355" s="1">
        <v>1701.8125</v>
      </c>
      <c r="C355" s="1">
        <v>656.72017600000004</v>
      </c>
      <c r="D355" s="1">
        <v>0.97916666699999999</v>
      </c>
      <c r="E355" s="1">
        <v>0.144337567</v>
      </c>
      <c r="F355" s="1">
        <v>87</v>
      </c>
      <c r="G355" s="1">
        <v>1653.7555560000001</v>
      </c>
      <c r="H355" s="1">
        <v>654.38788729999999</v>
      </c>
      <c r="I355" s="1">
        <v>0.93478260899999999</v>
      </c>
      <c r="J355" s="1">
        <v>0.249637418</v>
      </c>
      <c r="K355" s="1">
        <f>(B355+Table810[[#This Row],[grt]])/2</f>
        <v>1677.784028</v>
      </c>
      <c r="L355" s="1">
        <f>(Table810[[#This Row],[prtsd]]+Table810[[#This Row],[grtsd]])/2</f>
        <v>655.55403165000007</v>
      </c>
      <c r="M355" s="1">
        <f>(Table810[[#This Row],[pacc]]+Table810[[#This Row],[gacc]])/2</f>
        <v>0.95697463799999993</v>
      </c>
      <c r="N355" s="1">
        <f>(Table810[[#This Row],[paccsd]]+Table810[[#This Row],[gaccsd]])/2</f>
        <v>0.1969874925</v>
      </c>
      <c r="O355">
        <f>Table810[[#This Row],[mrt]]-(Table810[[#This Row],[macc]]*1000)</f>
        <v>720.80939000000012</v>
      </c>
      <c r="P355" s="9">
        <f>(Table810[[#This Row],[prt]]-Table810[[#This Row],[grt]])</f>
        <v>48.05694399999993</v>
      </c>
      <c r="Q355" s="8">
        <f>Table810[[#This Row],[pacc]]-Table810[[#This Row],[gacc]]</f>
        <v>4.4384058000000004E-2</v>
      </c>
      <c r="R355" s="8">
        <f>Table810[[#This Row],[rt_pairing_score]]-Table810[[#This Row],[acc_pairing_score]]</f>
        <v>48.012559941999932</v>
      </c>
    </row>
    <row r="356" spans="1:18" x14ac:dyDescent="0.25">
      <c r="A356" t="s">
        <v>381</v>
      </c>
      <c r="B356" s="1">
        <v>1698.9375</v>
      </c>
      <c r="C356" s="1">
        <v>598.7025122</v>
      </c>
      <c r="D356" s="1">
        <v>1</v>
      </c>
      <c r="E356" s="1">
        <v>0</v>
      </c>
      <c r="F356" s="1">
        <v>83</v>
      </c>
      <c r="G356" s="1">
        <v>1687.4347829999999</v>
      </c>
      <c r="H356" s="1">
        <v>597.11806579999995</v>
      </c>
      <c r="I356" s="1">
        <v>0.95744680900000001</v>
      </c>
      <c r="J356" s="1">
        <v>0.204029709</v>
      </c>
      <c r="K356" s="1">
        <f>(B356+Table810[[#This Row],[grt]])/2</f>
        <v>1693.1861414999998</v>
      </c>
      <c r="L356" s="1">
        <f>(Table810[[#This Row],[prtsd]]+Table810[[#This Row],[grtsd]])/2</f>
        <v>597.91028899999992</v>
      </c>
      <c r="M356" s="1">
        <f>(Table810[[#This Row],[pacc]]+Table810[[#This Row],[gacc]])/2</f>
        <v>0.97872340449999995</v>
      </c>
      <c r="N356" s="1">
        <f>(Table810[[#This Row],[paccsd]]+Table810[[#This Row],[gaccsd]])/2</f>
        <v>0.1020148545</v>
      </c>
      <c r="O356">
        <f>Table810[[#This Row],[mrt]]-(Table810[[#This Row],[macc]]*1000)</f>
        <v>714.46273699999995</v>
      </c>
      <c r="P356" s="9">
        <f>(Table810[[#This Row],[prt]]-Table810[[#This Row],[grt]])</f>
        <v>11.502717000000075</v>
      </c>
      <c r="Q356" s="8">
        <f>Table810[[#This Row],[pacc]]-Table810[[#This Row],[gacc]]</f>
        <v>4.255319099999999E-2</v>
      </c>
      <c r="R356" s="8">
        <f>Table810[[#This Row],[rt_pairing_score]]-Table810[[#This Row],[acc_pairing_score]]</f>
        <v>11.460163809000075</v>
      </c>
    </row>
    <row r="357" spans="1:18" x14ac:dyDescent="0.25">
      <c r="A357" t="s">
        <v>274</v>
      </c>
      <c r="B357" s="1">
        <v>1648.608696</v>
      </c>
      <c r="C357" s="1">
        <v>496.02251200000001</v>
      </c>
      <c r="D357" s="1">
        <v>0.95833333300000001</v>
      </c>
      <c r="E357" s="1">
        <v>0.20194093699999999</v>
      </c>
      <c r="F357" s="1">
        <v>13</v>
      </c>
      <c r="G357" s="1">
        <v>1649.1521740000001</v>
      </c>
      <c r="H357" s="1">
        <v>498.57454439999998</v>
      </c>
      <c r="I357" s="1">
        <v>0.91666666699999999</v>
      </c>
      <c r="J357" s="1">
        <v>0.27931019400000001</v>
      </c>
      <c r="K357" s="1">
        <f>(B357+Table810[[#This Row],[grt]])/2</f>
        <v>1648.880435</v>
      </c>
      <c r="L357" s="1">
        <f>(Table810[[#This Row],[prtsd]]+Table810[[#This Row],[grtsd]])/2</f>
        <v>497.29852819999996</v>
      </c>
      <c r="M357" s="1">
        <f>(Table810[[#This Row],[pacc]]+Table810[[#This Row],[gacc]])/2</f>
        <v>0.9375</v>
      </c>
      <c r="N357" s="1">
        <f>(Table810[[#This Row],[paccsd]]+Table810[[#This Row],[gaccsd]])/2</f>
        <v>0.2406255655</v>
      </c>
      <c r="O357">
        <f>Table810[[#This Row],[mrt]]-(Table810[[#This Row],[macc]]*1000)</f>
        <v>711.38043500000003</v>
      </c>
      <c r="P357" s="9">
        <f>(Table810[[#This Row],[prt]]-Table810[[#This Row],[grt]])</f>
        <v>-0.54347800000005009</v>
      </c>
      <c r="Q357" s="8">
        <f>Table810[[#This Row],[pacc]]-Table810[[#This Row],[gacc]]</f>
        <v>4.1666666000000019E-2</v>
      </c>
      <c r="R357" s="8">
        <f>Table810[[#This Row],[rt_pairing_score]]-Table810[[#This Row],[acc_pairing_score]]</f>
        <v>-0.58514466600005011</v>
      </c>
    </row>
    <row r="358" spans="1:18" x14ac:dyDescent="0.25">
      <c r="A358" t="s">
        <v>342</v>
      </c>
      <c r="B358" s="1">
        <v>1684.346939</v>
      </c>
      <c r="C358" s="1">
        <v>526.27513999999996</v>
      </c>
      <c r="D358" s="1">
        <v>0.97959183699999997</v>
      </c>
      <c r="E358" s="1">
        <v>0.14285714299999999</v>
      </c>
      <c r="F358" s="1">
        <v>63</v>
      </c>
      <c r="G358" s="1">
        <v>1695.3191489999999</v>
      </c>
      <c r="H358" s="1">
        <v>521.86792879999996</v>
      </c>
      <c r="I358" s="1">
        <v>0.97916666699999999</v>
      </c>
      <c r="J358" s="1">
        <v>0.144337567</v>
      </c>
      <c r="K358" s="1">
        <f>(B358+Table810[[#This Row],[grt]])/2</f>
        <v>1689.833044</v>
      </c>
      <c r="L358" s="1">
        <f>(Table810[[#This Row],[prtsd]]+Table810[[#This Row],[grtsd]])/2</f>
        <v>524.07153440000002</v>
      </c>
      <c r="M358" s="1">
        <f>(Table810[[#This Row],[pacc]]+Table810[[#This Row],[gacc]])/2</f>
        <v>0.97937925199999998</v>
      </c>
      <c r="N358" s="1">
        <f>(Table810[[#This Row],[paccsd]]+Table810[[#This Row],[gaccsd]])/2</f>
        <v>0.14359735499999998</v>
      </c>
      <c r="O358">
        <f>Table810[[#This Row],[mrt]]-(Table810[[#This Row],[macc]]*1000)</f>
        <v>710.45379200000002</v>
      </c>
      <c r="P358" s="9">
        <f>(Table810[[#This Row],[prt]]-Table810[[#This Row],[grt]])</f>
        <v>-10.972209999999905</v>
      </c>
      <c r="Q358" s="8">
        <f>Table810[[#This Row],[pacc]]-Table810[[#This Row],[gacc]]</f>
        <v>4.2516999999997473E-4</v>
      </c>
      <c r="R358" s="8">
        <f>Table810[[#This Row],[rt_pairing_score]]-Table810[[#This Row],[acc_pairing_score]]</f>
        <v>-10.972635169999904</v>
      </c>
    </row>
    <row r="359" spans="1:18" x14ac:dyDescent="0.25">
      <c r="A359" t="s">
        <v>371</v>
      </c>
      <c r="B359" s="1">
        <v>1698.26</v>
      </c>
      <c r="C359" s="1">
        <v>430.57250970000001</v>
      </c>
      <c r="D359" s="1">
        <v>1</v>
      </c>
      <c r="E359" s="1">
        <v>0</v>
      </c>
      <c r="F359" s="1">
        <v>57</v>
      </c>
      <c r="G359" s="1">
        <v>1699.8936169999999</v>
      </c>
      <c r="H359" s="1">
        <v>442.32671549999998</v>
      </c>
      <c r="I359" s="1">
        <v>0.97916666699999999</v>
      </c>
      <c r="J359" s="1">
        <v>0.144337567</v>
      </c>
      <c r="K359" s="1">
        <f>(B359+Table810[[#This Row],[grt]])/2</f>
        <v>1699.0768085</v>
      </c>
      <c r="L359" s="1">
        <f>(Table810[[#This Row],[prtsd]]+Table810[[#This Row],[grtsd]])/2</f>
        <v>436.44961260000002</v>
      </c>
      <c r="M359" s="1">
        <f>(Table810[[#This Row],[pacc]]+Table810[[#This Row],[gacc]])/2</f>
        <v>0.98958333349999994</v>
      </c>
      <c r="N359" s="1">
        <f>(Table810[[#This Row],[paccsd]]+Table810[[#This Row],[gaccsd]])/2</f>
        <v>7.21687835E-2</v>
      </c>
      <c r="O359">
        <f>Table810[[#This Row],[mrt]]-(Table810[[#This Row],[macc]]*1000)</f>
        <v>709.49347499999999</v>
      </c>
      <c r="P359" s="9">
        <f>(Table810[[#This Row],[prt]]-Table810[[#This Row],[grt]])</f>
        <v>-1.6336169999999584</v>
      </c>
      <c r="Q359" s="8">
        <f>Table810[[#This Row],[pacc]]-Table810[[#This Row],[gacc]]</f>
        <v>2.0833333000000009E-2</v>
      </c>
      <c r="R359" s="8">
        <f>Table810[[#This Row],[rt_pairing_score]]-Table810[[#This Row],[acc_pairing_score]]</f>
        <v>-1.6544503329999585</v>
      </c>
    </row>
    <row r="360" spans="1:18" x14ac:dyDescent="0.25">
      <c r="A360" t="s">
        <v>343</v>
      </c>
      <c r="B360" s="1">
        <v>1635.122449</v>
      </c>
      <c r="C360" s="1">
        <v>540.81183699999997</v>
      </c>
      <c r="D360" s="1">
        <v>0.97959183699999997</v>
      </c>
      <c r="E360" s="1">
        <v>0.14285714299999999</v>
      </c>
      <c r="F360" s="1">
        <v>107</v>
      </c>
      <c r="G360" s="1">
        <v>1718.3191489999999</v>
      </c>
      <c r="H360" s="1">
        <v>551.86368460000006</v>
      </c>
      <c r="I360" s="1">
        <v>0.95744680900000001</v>
      </c>
      <c r="J360" s="1">
        <v>0.204029709</v>
      </c>
      <c r="K360" s="1">
        <f>(B360+Table810[[#This Row],[grt]])/2</f>
        <v>1676.7207989999999</v>
      </c>
      <c r="L360" s="1">
        <f>(Table810[[#This Row],[prtsd]]+Table810[[#This Row],[grtsd]])/2</f>
        <v>546.33776080000007</v>
      </c>
      <c r="M360" s="1">
        <f>(Table810[[#This Row],[pacc]]+Table810[[#This Row],[gacc]])/2</f>
        <v>0.96851932299999999</v>
      </c>
      <c r="N360" s="1">
        <f>(Table810[[#This Row],[paccsd]]+Table810[[#This Row],[gaccsd]])/2</f>
        <v>0.17344342600000001</v>
      </c>
      <c r="O360">
        <f>Table810[[#This Row],[mrt]]-(Table810[[#This Row],[macc]]*1000)</f>
        <v>708.20147599999996</v>
      </c>
      <c r="P360" s="9">
        <f>(Table810[[#This Row],[prt]]-Table810[[#This Row],[grt]])</f>
        <v>-83.196699999999964</v>
      </c>
      <c r="Q360" s="8">
        <f>Table810[[#This Row],[pacc]]-Table810[[#This Row],[gacc]]</f>
        <v>2.2145027999999956E-2</v>
      </c>
      <c r="R360" s="8">
        <f>Table810[[#This Row],[rt_pairing_score]]-Table810[[#This Row],[acc_pairing_score]]</f>
        <v>-83.218845027999961</v>
      </c>
    </row>
    <row r="361" spans="1:18" x14ac:dyDescent="0.25">
      <c r="A361" t="s">
        <v>223</v>
      </c>
      <c r="B361" s="1">
        <v>1668.48</v>
      </c>
      <c r="C361" s="1">
        <v>612.04148989999999</v>
      </c>
      <c r="D361" s="1">
        <v>0.92</v>
      </c>
      <c r="E361" s="1">
        <v>0.27404751599999999</v>
      </c>
      <c r="F361" s="1">
        <v>378</v>
      </c>
      <c r="G361" s="1">
        <v>1625.604167</v>
      </c>
      <c r="H361" s="1">
        <v>617.33744490000004</v>
      </c>
      <c r="I361" s="1">
        <v>0.95833333300000001</v>
      </c>
      <c r="J361" s="1">
        <v>0.20194093699999999</v>
      </c>
      <c r="K361" s="1">
        <f>(B361+Table810[[#This Row],[grt]])/2</f>
        <v>1647.0420835</v>
      </c>
      <c r="L361" s="1">
        <f>(Table810[[#This Row],[prtsd]]+Table810[[#This Row],[grtsd]])/2</f>
        <v>614.68946740000001</v>
      </c>
      <c r="M361" s="1">
        <f>(Table810[[#This Row],[pacc]]+Table810[[#This Row],[gacc]])/2</f>
        <v>0.93916666650000002</v>
      </c>
      <c r="N361" s="1">
        <f>(Table810[[#This Row],[paccsd]]+Table810[[#This Row],[gaccsd]])/2</f>
        <v>0.23799422649999999</v>
      </c>
      <c r="O361">
        <f>Table810[[#This Row],[mrt]]-(Table810[[#This Row],[macc]]*1000)</f>
        <v>707.87541699999997</v>
      </c>
      <c r="P361" s="9">
        <f>(Table810[[#This Row],[prt]]-Table810[[#This Row],[grt]])</f>
        <v>42.875833000000057</v>
      </c>
      <c r="Q361" s="8">
        <f>Table810[[#This Row],[pacc]]-Table810[[#This Row],[gacc]]</f>
        <v>-3.8333332999999969E-2</v>
      </c>
      <c r="R361" s="8">
        <f>Table810[[#This Row],[rt_pairing_score]]-Table810[[#This Row],[acc_pairing_score]]</f>
        <v>42.914166333000054</v>
      </c>
    </row>
    <row r="362" spans="1:18" x14ac:dyDescent="0.25">
      <c r="A362" t="s">
        <v>407</v>
      </c>
      <c r="B362" s="1">
        <v>1660.808511</v>
      </c>
      <c r="C362" s="1">
        <v>540.12565519999998</v>
      </c>
      <c r="D362" s="1">
        <v>1</v>
      </c>
      <c r="E362" s="1">
        <v>0</v>
      </c>
      <c r="F362" s="1">
        <v>303</v>
      </c>
      <c r="G362" s="1">
        <v>1696.395833</v>
      </c>
      <c r="H362" s="1">
        <v>540.90089309999996</v>
      </c>
      <c r="I362" s="1">
        <v>0.95833333300000001</v>
      </c>
      <c r="J362" s="1">
        <v>0.20194093699999999</v>
      </c>
      <c r="K362" s="1">
        <f>(B362+Table810[[#This Row],[grt]])/2</f>
        <v>1678.6021719999999</v>
      </c>
      <c r="L362" s="1">
        <f>(Table810[[#This Row],[prtsd]]+Table810[[#This Row],[grtsd]])/2</f>
        <v>540.51327414999992</v>
      </c>
      <c r="M362" s="1">
        <f>(Table810[[#This Row],[pacc]]+Table810[[#This Row],[gacc]])/2</f>
        <v>0.97916666650000006</v>
      </c>
      <c r="N362" s="1">
        <f>(Table810[[#This Row],[paccsd]]+Table810[[#This Row],[gaccsd]])/2</f>
        <v>0.10097046849999999</v>
      </c>
      <c r="O362">
        <f>Table810[[#This Row],[mrt]]-(Table810[[#This Row],[macc]]*1000)</f>
        <v>699.43550549999986</v>
      </c>
      <c r="P362" s="9">
        <f>(Table810[[#This Row],[prt]]-Table810[[#This Row],[grt]])</f>
        <v>-35.587322000000086</v>
      </c>
      <c r="Q362" s="8">
        <f>Table810[[#This Row],[pacc]]-Table810[[#This Row],[gacc]]</f>
        <v>4.1666666999999991E-2</v>
      </c>
      <c r="R362" s="8">
        <f>Table810[[#This Row],[rt_pairing_score]]-Table810[[#This Row],[acc_pairing_score]]</f>
        <v>-35.628988667000087</v>
      </c>
    </row>
    <row r="363" spans="1:18" x14ac:dyDescent="0.25">
      <c r="A363" t="s">
        <v>320</v>
      </c>
      <c r="B363" s="1">
        <v>1658.98</v>
      </c>
      <c r="C363" s="1">
        <v>479.32284249999998</v>
      </c>
      <c r="D363" s="1">
        <v>0.96</v>
      </c>
      <c r="E363" s="1">
        <v>0.197948664</v>
      </c>
      <c r="F363" s="1">
        <v>184</v>
      </c>
      <c r="G363" s="1">
        <v>1639.7446809999999</v>
      </c>
      <c r="H363" s="1">
        <v>483.28119770000001</v>
      </c>
      <c r="I363" s="1">
        <v>0.95833333300000001</v>
      </c>
      <c r="J363" s="1">
        <v>0.20194093699999999</v>
      </c>
      <c r="K363" s="1">
        <f>(B363+Table810[[#This Row],[grt]])/2</f>
        <v>1649.3623404999998</v>
      </c>
      <c r="L363" s="1">
        <f>(Table810[[#This Row],[prtsd]]+Table810[[#This Row],[grtsd]])/2</f>
        <v>481.30202009999999</v>
      </c>
      <c r="M363" s="1">
        <f>(Table810[[#This Row],[pacc]]+Table810[[#This Row],[gacc]])/2</f>
        <v>0.95916666650000004</v>
      </c>
      <c r="N363" s="1">
        <f>(Table810[[#This Row],[paccsd]]+Table810[[#This Row],[gaccsd]])/2</f>
        <v>0.19994480049999999</v>
      </c>
      <c r="O363">
        <f>Table810[[#This Row],[mrt]]-(Table810[[#This Row],[macc]]*1000)</f>
        <v>690.19567399999983</v>
      </c>
      <c r="P363" s="9">
        <f>(Table810[[#This Row],[prt]]-Table810[[#This Row],[grt]])</f>
        <v>19.235319000000118</v>
      </c>
      <c r="Q363" s="8">
        <f>Table810[[#This Row],[pacc]]-Table810[[#This Row],[gacc]]</f>
        <v>1.666666999999955E-3</v>
      </c>
      <c r="R363" s="8">
        <f>Table810[[#This Row],[rt_pairing_score]]-Table810[[#This Row],[acc_pairing_score]]</f>
        <v>19.233652333000119</v>
      </c>
    </row>
    <row r="364" spans="1:18" x14ac:dyDescent="0.25">
      <c r="A364" t="s">
        <v>350</v>
      </c>
      <c r="B364" s="1">
        <v>1629.04</v>
      </c>
      <c r="C364" s="1">
        <v>490.12022519999999</v>
      </c>
      <c r="D364" s="1">
        <v>0.98</v>
      </c>
      <c r="E364" s="1">
        <v>0.141421356</v>
      </c>
      <c r="F364" s="1">
        <v>380</v>
      </c>
      <c r="G364" s="1">
        <v>1661.333333</v>
      </c>
      <c r="H364" s="1">
        <v>492.10171639999999</v>
      </c>
      <c r="I364" s="1">
        <v>0.9375</v>
      </c>
      <c r="J364" s="1">
        <v>0.24462302699999999</v>
      </c>
      <c r="K364" s="1">
        <f>(B364+Table810[[#This Row],[grt]])/2</f>
        <v>1645.1866665</v>
      </c>
      <c r="L364" s="1">
        <f>(Table810[[#This Row],[prtsd]]+Table810[[#This Row],[grtsd]])/2</f>
        <v>491.11097080000002</v>
      </c>
      <c r="M364" s="1">
        <f>(Table810[[#This Row],[pacc]]+Table810[[#This Row],[gacc]])/2</f>
        <v>0.95874999999999999</v>
      </c>
      <c r="N364" s="1">
        <f>(Table810[[#This Row],[paccsd]]+Table810[[#This Row],[gaccsd]])/2</f>
        <v>0.1930221915</v>
      </c>
      <c r="O364">
        <f>Table810[[#This Row],[mrt]]-(Table810[[#This Row],[macc]]*1000)</f>
        <v>686.4366665</v>
      </c>
      <c r="P364" s="9">
        <f>(Table810[[#This Row],[prt]]-Table810[[#This Row],[grt]])</f>
        <v>-32.293333000000075</v>
      </c>
      <c r="Q364" s="8">
        <f>Table810[[#This Row],[pacc]]-Table810[[#This Row],[gacc]]</f>
        <v>4.2499999999999982E-2</v>
      </c>
      <c r="R364" s="8">
        <f>Table810[[#This Row],[rt_pairing_score]]-Table810[[#This Row],[acc_pairing_score]]</f>
        <v>-32.335833000000072</v>
      </c>
    </row>
    <row r="365" spans="1:18" x14ac:dyDescent="0.25">
      <c r="A365" t="s">
        <v>354</v>
      </c>
      <c r="B365" s="1">
        <v>1657.02</v>
      </c>
      <c r="C365" s="1">
        <v>551.83114430000001</v>
      </c>
      <c r="D365" s="1">
        <v>0.98</v>
      </c>
      <c r="E365" s="1">
        <v>0.141421356</v>
      </c>
      <c r="F365" s="1">
        <v>298</v>
      </c>
      <c r="G365" s="1">
        <v>1646.914894</v>
      </c>
      <c r="H365" s="1">
        <v>557.88341579999997</v>
      </c>
      <c r="I365" s="1">
        <v>0.95744680900000001</v>
      </c>
      <c r="J365" s="1">
        <v>0.204029709</v>
      </c>
      <c r="K365" s="1">
        <f>(B365+Table810[[#This Row],[grt]])/2</f>
        <v>1651.967447</v>
      </c>
      <c r="L365" s="1">
        <f>(Table810[[#This Row],[prtsd]]+Table810[[#This Row],[grtsd]])/2</f>
        <v>554.85728004999999</v>
      </c>
      <c r="M365" s="1">
        <f>(Table810[[#This Row],[pacc]]+Table810[[#This Row],[gacc]])/2</f>
        <v>0.96872340449999994</v>
      </c>
      <c r="N365" s="1">
        <f>(Table810[[#This Row],[paccsd]]+Table810[[#This Row],[gaccsd]])/2</f>
        <v>0.1727255325</v>
      </c>
      <c r="O365">
        <f>Table810[[#This Row],[mrt]]-(Table810[[#This Row],[macc]]*1000)</f>
        <v>683.24404250000009</v>
      </c>
      <c r="P365" s="9">
        <f>(Table810[[#This Row],[prt]]-Table810[[#This Row],[grt]])</f>
        <v>10.105105999999978</v>
      </c>
      <c r="Q365" s="8">
        <f>Table810[[#This Row],[pacc]]-Table810[[#This Row],[gacc]]</f>
        <v>2.2553190999999972E-2</v>
      </c>
      <c r="R365" s="8">
        <f>Table810[[#This Row],[rt_pairing_score]]-Table810[[#This Row],[acc_pairing_score]]</f>
        <v>10.082552808999978</v>
      </c>
    </row>
    <row r="366" spans="1:18" x14ac:dyDescent="0.25">
      <c r="A366" t="s">
        <v>384</v>
      </c>
      <c r="B366" s="1">
        <v>1673.32</v>
      </c>
      <c r="C366" s="1">
        <v>580.62648920000004</v>
      </c>
      <c r="D366" s="1">
        <v>1</v>
      </c>
      <c r="E366" s="1">
        <v>0</v>
      </c>
      <c r="F366" s="1">
        <v>345</v>
      </c>
      <c r="G366" s="1">
        <v>1664.6382980000001</v>
      </c>
      <c r="H366" s="1">
        <v>571.75787009999999</v>
      </c>
      <c r="I366" s="1">
        <v>0.97872340400000002</v>
      </c>
      <c r="J366" s="1">
        <v>0.145864991</v>
      </c>
      <c r="K366" s="1">
        <f>(B366+Table810[[#This Row],[grt]])/2</f>
        <v>1668.979149</v>
      </c>
      <c r="L366" s="1">
        <f>(Table810[[#This Row],[prtsd]]+Table810[[#This Row],[grtsd]])/2</f>
        <v>576.19217965000007</v>
      </c>
      <c r="M366" s="1">
        <f>(Table810[[#This Row],[pacc]]+Table810[[#This Row],[gacc]])/2</f>
        <v>0.98936170200000007</v>
      </c>
      <c r="N366" s="1">
        <f>(Table810[[#This Row],[paccsd]]+Table810[[#This Row],[gaccsd]])/2</f>
        <v>7.29324955E-2</v>
      </c>
      <c r="O366">
        <f>Table810[[#This Row],[mrt]]-(Table810[[#This Row],[macc]]*1000)</f>
        <v>679.61744699999997</v>
      </c>
      <c r="P366" s="9">
        <f>(Table810[[#This Row],[prt]]-Table810[[#This Row],[grt]])</f>
        <v>8.6817019999998593</v>
      </c>
      <c r="Q366" s="8">
        <f>Table810[[#This Row],[pacc]]-Table810[[#This Row],[gacc]]</f>
        <v>2.1276595999999981E-2</v>
      </c>
      <c r="R366" s="8">
        <f>Table810[[#This Row],[rt_pairing_score]]-Table810[[#This Row],[acc_pairing_score]]</f>
        <v>8.6604254039998594</v>
      </c>
    </row>
    <row r="367" spans="1:18" x14ac:dyDescent="0.25">
      <c r="A367" t="s">
        <v>296</v>
      </c>
      <c r="B367" s="1">
        <v>1599.0204080000001</v>
      </c>
      <c r="C367" s="1">
        <v>476.21360270000002</v>
      </c>
      <c r="D367" s="1">
        <v>0.95918367299999996</v>
      </c>
      <c r="E367" s="1">
        <v>0.19991494800000001</v>
      </c>
      <c r="F367" s="1">
        <v>24</v>
      </c>
      <c r="G367" s="1">
        <v>1630</v>
      </c>
      <c r="H367" s="1">
        <v>476.40652169999998</v>
      </c>
      <c r="I367" s="1">
        <v>0.93617021300000003</v>
      </c>
      <c r="J367" s="1">
        <v>0.24709224799999999</v>
      </c>
      <c r="K367" s="1">
        <f>(B367+Table810[[#This Row],[grt]])/2</f>
        <v>1614.5102040000002</v>
      </c>
      <c r="L367" s="1">
        <f>(Table810[[#This Row],[prtsd]]+Table810[[#This Row],[grtsd]])/2</f>
        <v>476.3100622</v>
      </c>
      <c r="M367" s="1">
        <f>(Table810[[#This Row],[pacc]]+Table810[[#This Row],[gacc]])/2</f>
        <v>0.94767694300000005</v>
      </c>
      <c r="N367" s="1">
        <f>(Table810[[#This Row],[paccsd]]+Table810[[#This Row],[gaccsd]])/2</f>
        <v>0.223503598</v>
      </c>
      <c r="O367">
        <f>Table810[[#This Row],[mrt]]-(Table810[[#This Row],[macc]]*1000)</f>
        <v>666.83326100000011</v>
      </c>
      <c r="P367" s="9">
        <f>(Table810[[#This Row],[prt]]-Table810[[#This Row],[grt]])</f>
        <v>-30.979591999999911</v>
      </c>
      <c r="Q367" s="8">
        <f>Table810[[#This Row],[pacc]]-Table810[[#This Row],[gacc]]</f>
        <v>2.301345999999993E-2</v>
      </c>
      <c r="R367" s="8">
        <f>Table810[[#This Row],[rt_pairing_score]]-Table810[[#This Row],[acc_pairing_score]]</f>
        <v>-31.002605459999913</v>
      </c>
    </row>
    <row r="368" spans="1:18" x14ac:dyDescent="0.25">
      <c r="A368" t="s">
        <v>391</v>
      </c>
      <c r="B368" s="1">
        <v>1619.08</v>
      </c>
      <c r="C368" s="1">
        <v>502.06897809999998</v>
      </c>
      <c r="D368" s="1">
        <v>1</v>
      </c>
      <c r="E368" s="1">
        <v>0</v>
      </c>
      <c r="F368" s="1">
        <v>178</v>
      </c>
      <c r="G368" s="1">
        <v>1624.468085</v>
      </c>
      <c r="H368" s="1">
        <v>505.85802489999998</v>
      </c>
      <c r="I368" s="1">
        <v>0.91489361700000005</v>
      </c>
      <c r="J368" s="1">
        <v>0.28205667299999998</v>
      </c>
      <c r="K368" s="1">
        <f>(B368+Table810[[#This Row],[grt]])/2</f>
        <v>1621.7740425</v>
      </c>
      <c r="L368" s="1">
        <f>(Table810[[#This Row],[prtsd]]+Table810[[#This Row],[grtsd]])/2</f>
        <v>503.96350150000001</v>
      </c>
      <c r="M368" s="1">
        <f>(Table810[[#This Row],[pacc]]+Table810[[#This Row],[gacc]])/2</f>
        <v>0.95744680850000008</v>
      </c>
      <c r="N368" s="1">
        <f>(Table810[[#This Row],[paccsd]]+Table810[[#This Row],[gaccsd]])/2</f>
        <v>0.14102833649999999</v>
      </c>
      <c r="O368">
        <f>Table810[[#This Row],[mrt]]-(Table810[[#This Row],[macc]]*1000)</f>
        <v>664.32723399999986</v>
      </c>
      <c r="P368" s="9">
        <f>(Table810[[#This Row],[prt]]-Table810[[#This Row],[grt]])</f>
        <v>-5.3880850000000464</v>
      </c>
      <c r="Q368" s="8">
        <f>Table810[[#This Row],[pacc]]-Table810[[#This Row],[gacc]]</f>
        <v>8.5106382999999952E-2</v>
      </c>
      <c r="R368" s="8">
        <f>Table810[[#This Row],[rt_pairing_score]]-Table810[[#This Row],[acc_pairing_score]]</f>
        <v>-5.4731913830000467</v>
      </c>
    </row>
    <row r="369" spans="1:18" x14ac:dyDescent="0.25">
      <c r="A369" t="s">
        <v>397</v>
      </c>
      <c r="B369" s="1">
        <v>1632.816327</v>
      </c>
      <c r="C369" s="1">
        <v>419.76584109999999</v>
      </c>
      <c r="D369" s="1">
        <v>1</v>
      </c>
      <c r="E369" s="1">
        <v>0</v>
      </c>
      <c r="F369" s="1">
        <v>166</v>
      </c>
      <c r="G369" s="1">
        <v>1623.553191</v>
      </c>
      <c r="H369" s="1">
        <v>408.2506588</v>
      </c>
      <c r="I369" s="1">
        <v>0.95744680900000001</v>
      </c>
      <c r="J369" s="1">
        <v>0.204029709</v>
      </c>
      <c r="K369" s="1">
        <f>(B369+Table810[[#This Row],[grt]])/2</f>
        <v>1628.184759</v>
      </c>
      <c r="L369" s="1">
        <f>(Table810[[#This Row],[prtsd]]+Table810[[#This Row],[grtsd]])/2</f>
        <v>414.00824994999999</v>
      </c>
      <c r="M369" s="1">
        <f>(Table810[[#This Row],[pacc]]+Table810[[#This Row],[gacc]])/2</f>
        <v>0.97872340449999995</v>
      </c>
      <c r="N369" s="1">
        <f>(Table810[[#This Row],[paccsd]]+Table810[[#This Row],[gaccsd]])/2</f>
        <v>0.1020148545</v>
      </c>
      <c r="O369">
        <f>Table810[[#This Row],[mrt]]-(Table810[[#This Row],[macc]]*1000)</f>
        <v>649.46135450000008</v>
      </c>
      <c r="P369" s="9">
        <f>(Table810[[#This Row],[prt]]-Table810[[#This Row],[grt]])</f>
        <v>9.2631360000000313</v>
      </c>
      <c r="Q369" s="8">
        <f>Table810[[#This Row],[pacc]]-Table810[[#This Row],[gacc]]</f>
        <v>4.255319099999999E-2</v>
      </c>
      <c r="R369" s="8">
        <f>Table810[[#This Row],[rt_pairing_score]]-Table810[[#This Row],[acc_pairing_score]]</f>
        <v>9.2205828090000317</v>
      </c>
    </row>
    <row r="370" spans="1:18" x14ac:dyDescent="0.25">
      <c r="A370" t="s">
        <v>377</v>
      </c>
      <c r="B370" s="1">
        <v>1639.3265309999999</v>
      </c>
      <c r="C370" s="1">
        <v>605.03919940000003</v>
      </c>
      <c r="D370" s="1">
        <v>1</v>
      </c>
      <c r="E370" s="1">
        <v>0</v>
      </c>
      <c r="F370" s="1">
        <v>332</v>
      </c>
      <c r="G370" s="1">
        <v>1613.6521740000001</v>
      </c>
      <c r="H370" s="1">
        <v>609.18284860000006</v>
      </c>
      <c r="I370" s="1">
        <v>0.95652173900000004</v>
      </c>
      <c r="J370" s="1">
        <v>0.20618457100000001</v>
      </c>
      <c r="K370" s="1">
        <f>(B370+Table810[[#This Row],[grt]])/2</f>
        <v>1626.4893525</v>
      </c>
      <c r="L370" s="1">
        <f>(Table810[[#This Row],[prtsd]]+Table810[[#This Row],[grtsd]])/2</f>
        <v>607.11102400000004</v>
      </c>
      <c r="M370" s="1">
        <f>(Table810[[#This Row],[pacc]]+Table810[[#This Row],[gacc]])/2</f>
        <v>0.97826086950000002</v>
      </c>
      <c r="N370" s="1">
        <f>(Table810[[#This Row],[paccsd]]+Table810[[#This Row],[gaccsd]])/2</f>
        <v>0.10309228550000001</v>
      </c>
      <c r="O370">
        <f>Table810[[#This Row],[mrt]]-(Table810[[#This Row],[macc]]*1000)</f>
        <v>648.22848299999998</v>
      </c>
      <c r="P370" s="9">
        <f>(Table810[[#This Row],[prt]]-Table810[[#This Row],[grt]])</f>
        <v>25.674356999999873</v>
      </c>
      <c r="Q370" s="8">
        <f>Table810[[#This Row],[pacc]]-Table810[[#This Row],[gacc]]</f>
        <v>4.3478260999999963E-2</v>
      </c>
      <c r="R370" s="8">
        <f>Table810[[#This Row],[rt_pairing_score]]-Table810[[#This Row],[acc_pairing_score]]</f>
        <v>25.630878738999872</v>
      </c>
    </row>
    <row r="371" spans="1:18" x14ac:dyDescent="0.25">
      <c r="A371" t="s">
        <v>373</v>
      </c>
      <c r="B371" s="1">
        <v>1654.52</v>
      </c>
      <c r="C371" s="1">
        <v>451.73846689999999</v>
      </c>
      <c r="D371" s="1">
        <v>1</v>
      </c>
      <c r="E371" s="1">
        <v>0</v>
      </c>
      <c r="F371" s="1">
        <v>111</v>
      </c>
      <c r="G371" s="1">
        <v>1617.583333</v>
      </c>
      <c r="H371" s="1">
        <v>450.54429649999997</v>
      </c>
      <c r="I371" s="1">
        <v>0.97916666699999999</v>
      </c>
      <c r="J371" s="1">
        <v>0.144337567</v>
      </c>
      <c r="K371" s="1">
        <f>(B371+Table810[[#This Row],[grt]])/2</f>
        <v>1636.0516665</v>
      </c>
      <c r="L371" s="1">
        <f>(Table810[[#This Row],[prtsd]]+Table810[[#This Row],[grtsd]])/2</f>
        <v>451.14138170000001</v>
      </c>
      <c r="M371" s="1">
        <f>(Table810[[#This Row],[pacc]]+Table810[[#This Row],[gacc]])/2</f>
        <v>0.98958333349999994</v>
      </c>
      <c r="N371" s="1">
        <f>(Table810[[#This Row],[paccsd]]+Table810[[#This Row],[gaccsd]])/2</f>
        <v>7.21687835E-2</v>
      </c>
      <c r="O371">
        <f>Table810[[#This Row],[mrt]]-(Table810[[#This Row],[macc]]*1000)</f>
        <v>646.46833300000003</v>
      </c>
      <c r="P371" s="9">
        <f>(Table810[[#This Row],[prt]]-Table810[[#This Row],[grt]])</f>
        <v>36.936666999999943</v>
      </c>
      <c r="Q371" s="8">
        <f>Table810[[#This Row],[pacc]]-Table810[[#This Row],[gacc]]</f>
        <v>2.0833333000000009E-2</v>
      </c>
      <c r="R371" s="8">
        <f>Table810[[#This Row],[rt_pairing_score]]-Table810[[#This Row],[acc_pairing_score]]</f>
        <v>36.915833666999944</v>
      </c>
    </row>
    <row r="372" spans="1:18" x14ac:dyDescent="0.25">
      <c r="A372" t="s">
        <v>408</v>
      </c>
      <c r="B372" s="1">
        <v>1636.5</v>
      </c>
      <c r="C372" s="1">
        <v>521.03224060000002</v>
      </c>
      <c r="D372" s="1">
        <v>1</v>
      </c>
      <c r="E372" s="1">
        <v>0</v>
      </c>
      <c r="F372" s="1">
        <v>3</v>
      </c>
      <c r="G372" s="1">
        <v>1634.1702130000001</v>
      </c>
      <c r="H372" s="1">
        <v>517.51144999999997</v>
      </c>
      <c r="I372" s="1">
        <v>0.97872340400000002</v>
      </c>
      <c r="J372" s="1">
        <v>0.145864991</v>
      </c>
      <c r="K372" s="1">
        <f>(B372+Table810[[#This Row],[grt]])/2</f>
        <v>1635.3351065000002</v>
      </c>
      <c r="L372" s="1">
        <f>(Table810[[#This Row],[prtsd]]+Table810[[#This Row],[grtsd]])/2</f>
        <v>519.2718453</v>
      </c>
      <c r="M372" s="1">
        <f>(Table810[[#This Row],[pacc]]+Table810[[#This Row],[gacc]])/2</f>
        <v>0.98936170200000007</v>
      </c>
      <c r="N372" s="1">
        <f>(Table810[[#This Row],[paccsd]]+Table810[[#This Row],[gaccsd]])/2</f>
        <v>7.29324955E-2</v>
      </c>
      <c r="O372">
        <f>Table810[[#This Row],[mrt]]-(Table810[[#This Row],[macc]]*1000)</f>
        <v>645.97340450000013</v>
      </c>
      <c r="P372" s="9">
        <f>(Table810[[#This Row],[prt]]-Table810[[#This Row],[grt]])</f>
        <v>2.3297869999998966</v>
      </c>
      <c r="Q372" s="8">
        <f>Table810[[#This Row],[pacc]]-Table810[[#This Row],[gacc]]</f>
        <v>2.1276595999999981E-2</v>
      </c>
      <c r="R372" s="8">
        <f>Table810[[#This Row],[rt_pairing_score]]-Table810[[#This Row],[acc_pairing_score]]</f>
        <v>2.3085104039998967</v>
      </c>
    </row>
    <row r="373" spans="1:18" x14ac:dyDescent="0.25">
      <c r="A373" t="s">
        <v>355</v>
      </c>
      <c r="B373" s="1">
        <v>1579.346939</v>
      </c>
      <c r="C373" s="1">
        <v>565.30373659999998</v>
      </c>
      <c r="D373" s="1">
        <v>0.98</v>
      </c>
      <c r="E373" s="1">
        <v>0.141421356</v>
      </c>
      <c r="F373" s="1">
        <v>147</v>
      </c>
      <c r="G373" s="1">
        <v>1586.166667</v>
      </c>
      <c r="H373" s="1">
        <v>569.19892689999995</v>
      </c>
      <c r="I373" s="1">
        <v>0.89583333300000001</v>
      </c>
      <c r="J373" s="1">
        <v>0.30870927799999998</v>
      </c>
      <c r="K373" s="1">
        <f>(B373+Table810[[#This Row],[grt]])/2</f>
        <v>1582.756803</v>
      </c>
      <c r="L373" s="1">
        <f>(Table810[[#This Row],[prtsd]]+Table810[[#This Row],[grtsd]])/2</f>
        <v>567.25133174999996</v>
      </c>
      <c r="M373" s="1">
        <f>(Table810[[#This Row],[pacc]]+Table810[[#This Row],[gacc]])/2</f>
        <v>0.93791666650000005</v>
      </c>
      <c r="N373" s="1">
        <f>(Table810[[#This Row],[paccsd]]+Table810[[#This Row],[gaccsd]])/2</f>
        <v>0.22506531699999999</v>
      </c>
      <c r="O373">
        <f>Table810[[#This Row],[mrt]]-(Table810[[#This Row],[macc]]*1000)</f>
        <v>644.84013649999997</v>
      </c>
      <c r="P373" s="9">
        <f>(Table810[[#This Row],[prt]]-Table810[[#This Row],[grt]])</f>
        <v>-6.8197279999999409</v>
      </c>
      <c r="Q373" s="8">
        <f>Table810[[#This Row],[pacc]]-Table810[[#This Row],[gacc]]</f>
        <v>8.4166666999999973E-2</v>
      </c>
      <c r="R373" s="8">
        <f>Table810[[#This Row],[rt_pairing_score]]-Table810[[#This Row],[acc_pairing_score]]</f>
        <v>-6.9038946669999408</v>
      </c>
    </row>
    <row r="374" spans="1:18" x14ac:dyDescent="0.25">
      <c r="A374" t="s">
        <v>200</v>
      </c>
      <c r="B374" s="1">
        <v>1607.653061</v>
      </c>
      <c r="C374" s="1">
        <v>414.2306901</v>
      </c>
      <c r="D374" s="1">
        <v>0.918367347</v>
      </c>
      <c r="E374" s="1">
        <v>0.27664166800000001</v>
      </c>
      <c r="F374" s="1">
        <v>110</v>
      </c>
      <c r="G374" s="1">
        <v>1587.979167</v>
      </c>
      <c r="H374" s="1">
        <v>411.88004289999998</v>
      </c>
      <c r="I374" s="1">
        <v>1</v>
      </c>
      <c r="J374" s="1">
        <v>0</v>
      </c>
      <c r="K374" s="1">
        <f>(B374+Table810[[#This Row],[grt]])/2</f>
        <v>1597.816114</v>
      </c>
      <c r="L374" s="1">
        <f>(Table810[[#This Row],[prtsd]]+Table810[[#This Row],[grtsd]])/2</f>
        <v>413.05536649999999</v>
      </c>
      <c r="M374" s="1">
        <f>(Table810[[#This Row],[pacc]]+Table810[[#This Row],[gacc]])/2</f>
        <v>0.9591836735</v>
      </c>
      <c r="N374" s="1">
        <f>(Table810[[#This Row],[paccsd]]+Table810[[#This Row],[gaccsd]])/2</f>
        <v>0.138320834</v>
      </c>
      <c r="O374">
        <f>Table810[[#This Row],[mrt]]-(Table810[[#This Row],[macc]]*1000)</f>
        <v>638.63244049999992</v>
      </c>
      <c r="P374" s="9">
        <f>(Table810[[#This Row],[prt]]-Table810[[#This Row],[grt]])</f>
        <v>19.673894000000018</v>
      </c>
      <c r="Q374" s="8">
        <f>Table810[[#This Row],[pacc]]-Table810[[#This Row],[gacc]]</f>
        <v>-8.1632652999999999E-2</v>
      </c>
      <c r="R374" s="8">
        <f>Table810[[#This Row],[rt_pairing_score]]-Table810[[#This Row],[acc_pairing_score]]</f>
        <v>19.755526653000018</v>
      </c>
    </row>
    <row r="375" spans="1:18" x14ac:dyDescent="0.25">
      <c r="A375" t="s">
        <v>254</v>
      </c>
      <c r="B375" s="1">
        <v>1565.918367</v>
      </c>
      <c r="C375" s="1">
        <v>522.39304470000002</v>
      </c>
      <c r="D375" s="1">
        <v>0.94</v>
      </c>
      <c r="E375" s="1">
        <v>0.23989793700000001</v>
      </c>
      <c r="F375" s="1">
        <v>109</v>
      </c>
      <c r="G375" s="1">
        <v>1588.478261</v>
      </c>
      <c r="H375" s="1">
        <v>463.75701199999997</v>
      </c>
      <c r="I375" s="1">
        <v>0.9375</v>
      </c>
      <c r="J375" s="1">
        <v>0.24462302699999999</v>
      </c>
      <c r="K375" s="1">
        <f>(B375+Table810[[#This Row],[grt]])/2</f>
        <v>1577.198314</v>
      </c>
      <c r="L375" s="1">
        <f>(Table810[[#This Row],[prtsd]]+Table810[[#This Row],[grtsd]])/2</f>
        <v>493.07502835000003</v>
      </c>
      <c r="M375" s="1">
        <f>(Table810[[#This Row],[pacc]]+Table810[[#This Row],[gacc]])/2</f>
        <v>0.93874999999999997</v>
      </c>
      <c r="N375" s="1">
        <f>(Table810[[#This Row],[paccsd]]+Table810[[#This Row],[gaccsd]])/2</f>
        <v>0.242260482</v>
      </c>
      <c r="O375">
        <f>Table810[[#This Row],[mrt]]-(Table810[[#This Row],[macc]]*1000)</f>
        <v>638.44831399999998</v>
      </c>
      <c r="P375" s="9">
        <f>(Table810[[#This Row],[prt]]-Table810[[#This Row],[grt]])</f>
        <v>-22.559893999999986</v>
      </c>
      <c r="Q375" s="8">
        <f>Table810[[#This Row],[pacc]]-Table810[[#This Row],[gacc]]</f>
        <v>2.4999999999999467E-3</v>
      </c>
      <c r="R375" s="8">
        <f>Table810[[#This Row],[rt_pairing_score]]-Table810[[#This Row],[acc_pairing_score]]</f>
        <v>-22.562393999999987</v>
      </c>
    </row>
    <row r="376" spans="1:18" x14ac:dyDescent="0.25">
      <c r="A376" t="s">
        <v>395</v>
      </c>
      <c r="B376" s="1">
        <v>1556.9795919999999</v>
      </c>
      <c r="C376" s="1">
        <v>604.71692719999999</v>
      </c>
      <c r="D376" s="1">
        <v>1</v>
      </c>
      <c r="E376" s="1">
        <v>0</v>
      </c>
      <c r="F376" s="1">
        <v>37</v>
      </c>
      <c r="G376" s="1">
        <v>1602.553191</v>
      </c>
      <c r="H376" s="1">
        <v>617.37032820000002</v>
      </c>
      <c r="I376" s="1">
        <v>0.91666666699999999</v>
      </c>
      <c r="J376" s="1">
        <v>0.27931019400000001</v>
      </c>
      <c r="K376" s="1">
        <f>(B376+Table810[[#This Row],[grt]])/2</f>
        <v>1579.7663914999998</v>
      </c>
      <c r="L376" s="1">
        <f>(Table810[[#This Row],[prtsd]]+Table810[[#This Row],[grtsd]])/2</f>
        <v>611.0436277</v>
      </c>
      <c r="M376" s="1">
        <f>(Table810[[#This Row],[pacc]]+Table810[[#This Row],[gacc]])/2</f>
        <v>0.95833333349999994</v>
      </c>
      <c r="N376" s="1">
        <f>(Table810[[#This Row],[paccsd]]+Table810[[#This Row],[gaccsd]])/2</f>
        <v>0.13965509700000001</v>
      </c>
      <c r="O376">
        <f>Table810[[#This Row],[mrt]]-(Table810[[#This Row],[macc]]*1000)</f>
        <v>621.43305799999985</v>
      </c>
      <c r="P376" s="9">
        <f>(Table810[[#This Row],[prt]]-Table810[[#This Row],[grt]])</f>
        <v>-45.573599000000058</v>
      </c>
      <c r="Q376" s="8">
        <f>Table810[[#This Row],[pacc]]-Table810[[#This Row],[gacc]]</f>
        <v>8.3333333000000009E-2</v>
      </c>
      <c r="R376" s="8">
        <f>Table810[[#This Row],[rt_pairing_score]]-Table810[[#This Row],[acc_pairing_score]]</f>
        <v>-45.656932333000057</v>
      </c>
    </row>
    <row r="377" spans="1:18" x14ac:dyDescent="0.25">
      <c r="A377" t="s">
        <v>268</v>
      </c>
      <c r="B377" s="1">
        <v>1575.5918369999999</v>
      </c>
      <c r="C377" s="1">
        <v>512.39254640000001</v>
      </c>
      <c r="D377" s="1">
        <v>0.94</v>
      </c>
      <c r="E377" s="1">
        <v>0.23989793700000001</v>
      </c>
      <c r="F377" s="1">
        <v>125</v>
      </c>
      <c r="G377" s="1">
        <v>1572.8125</v>
      </c>
      <c r="H377" s="1">
        <v>509.46900419999997</v>
      </c>
      <c r="I377" s="1">
        <v>0.97916666699999999</v>
      </c>
      <c r="J377" s="1">
        <v>0.144337567</v>
      </c>
      <c r="K377" s="1">
        <f>(B377+Table810[[#This Row],[grt]])/2</f>
        <v>1574.2021685</v>
      </c>
      <c r="L377" s="1">
        <f>(Table810[[#This Row],[prtsd]]+Table810[[#This Row],[grtsd]])/2</f>
        <v>510.93077529999999</v>
      </c>
      <c r="M377" s="1">
        <f>(Table810[[#This Row],[pacc]]+Table810[[#This Row],[gacc]])/2</f>
        <v>0.95958333349999991</v>
      </c>
      <c r="N377" s="1">
        <f>(Table810[[#This Row],[paccsd]]+Table810[[#This Row],[gaccsd]])/2</f>
        <v>0.192117752</v>
      </c>
      <c r="O377">
        <f>Table810[[#This Row],[mrt]]-(Table810[[#This Row],[macc]]*1000)</f>
        <v>614.6188350000001</v>
      </c>
      <c r="P377" s="9">
        <f>(Table810[[#This Row],[prt]]-Table810[[#This Row],[grt]])</f>
        <v>2.7793369999999413</v>
      </c>
      <c r="Q377" s="8">
        <f>Table810[[#This Row],[pacc]]-Table810[[#This Row],[gacc]]</f>
        <v>-3.9166667000000044E-2</v>
      </c>
      <c r="R377" s="8">
        <f>Table810[[#This Row],[rt_pairing_score]]-Table810[[#This Row],[acc_pairing_score]]</f>
        <v>2.8185036669999413</v>
      </c>
    </row>
    <row r="378" spans="1:18" x14ac:dyDescent="0.25">
      <c r="A378" t="s">
        <v>409</v>
      </c>
      <c r="B378" s="1">
        <v>1611.72</v>
      </c>
      <c r="C378" s="1">
        <v>532.45940880000001</v>
      </c>
      <c r="D378" s="1">
        <v>1</v>
      </c>
      <c r="E378" s="1">
        <v>0</v>
      </c>
      <c r="F378" s="1">
        <v>21</v>
      </c>
      <c r="G378" s="1">
        <v>1587.608696</v>
      </c>
      <c r="H378" s="1">
        <v>530.94634499999995</v>
      </c>
      <c r="I378" s="1">
        <v>0.97826086999999995</v>
      </c>
      <c r="J378" s="1">
        <v>0.14744195600000001</v>
      </c>
      <c r="K378" s="1">
        <f>(B378+Table810[[#This Row],[grt]])/2</f>
        <v>1599.664348</v>
      </c>
      <c r="L378" s="1">
        <f>(Table810[[#This Row],[prtsd]]+Table810[[#This Row],[grtsd]])/2</f>
        <v>531.70287689999998</v>
      </c>
      <c r="M378" s="1">
        <f>(Table810[[#This Row],[pacc]]+Table810[[#This Row],[gacc]])/2</f>
        <v>0.98913043499999997</v>
      </c>
      <c r="N378" s="1">
        <f>(Table810[[#This Row],[paccsd]]+Table810[[#This Row],[gaccsd]])/2</f>
        <v>7.3720978000000006E-2</v>
      </c>
      <c r="O378">
        <f>Table810[[#This Row],[mrt]]-(Table810[[#This Row],[macc]]*1000)</f>
        <v>610.5339130000001</v>
      </c>
      <c r="P378" s="9">
        <f>(Table810[[#This Row],[prt]]-Table810[[#This Row],[grt]])</f>
        <v>24.111304000000018</v>
      </c>
      <c r="Q378" s="8">
        <f>Table810[[#This Row],[pacc]]-Table810[[#This Row],[gacc]]</f>
        <v>2.1739130000000051E-2</v>
      </c>
      <c r="R378" s="8">
        <f>Table810[[#This Row],[rt_pairing_score]]-Table810[[#This Row],[acc_pairing_score]]</f>
        <v>24.089564870000018</v>
      </c>
    </row>
    <row r="379" spans="1:18" x14ac:dyDescent="0.25">
      <c r="A379" t="s">
        <v>333</v>
      </c>
      <c r="B379" s="1">
        <v>1568.340426</v>
      </c>
      <c r="C379" s="1">
        <v>467.66762990000001</v>
      </c>
      <c r="D379" s="1">
        <v>0.97916666699999999</v>
      </c>
      <c r="E379" s="1">
        <v>0.144337567</v>
      </c>
      <c r="F379" s="1">
        <v>295</v>
      </c>
      <c r="G379" s="1">
        <v>1571.8260869999999</v>
      </c>
      <c r="H379" s="1">
        <v>463.04256120000002</v>
      </c>
      <c r="I379" s="1">
        <v>0.97872340400000002</v>
      </c>
      <c r="J379" s="1">
        <v>0.145864991</v>
      </c>
      <c r="K379" s="1">
        <f>(B379+Table810[[#This Row],[grt]])/2</f>
        <v>1570.0832565000001</v>
      </c>
      <c r="L379" s="1">
        <f>(Table810[[#This Row],[prtsd]]+Table810[[#This Row],[grtsd]])/2</f>
        <v>465.35509554999999</v>
      </c>
      <c r="M379" s="1">
        <f>(Table810[[#This Row],[pacc]]+Table810[[#This Row],[gacc]])/2</f>
        <v>0.9789450355</v>
      </c>
      <c r="N379" s="1">
        <f>(Table810[[#This Row],[paccsd]]+Table810[[#This Row],[gaccsd]])/2</f>
        <v>0.145101279</v>
      </c>
      <c r="O379">
        <f>Table810[[#This Row],[mrt]]-(Table810[[#This Row],[macc]]*1000)</f>
        <v>591.13822100000004</v>
      </c>
      <c r="P379" s="9">
        <f>(Table810[[#This Row],[prt]]-Table810[[#This Row],[grt]])</f>
        <v>-3.4856609999999364</v>
      </c>
      <c r="Q379" s="8">
        <f>Table810[[#This Row],[pacc]]-Table810[[#This Row],[gacc]]</f>
        <v>4.4326299999997154E-4</v>
      </c>
      <c r="R379" s="8">
        <f>Table810[[#This Row],[rt_pairing_score]]-Table810[[#This Row],[acc_pairing_score]]</f>
        <v>-3.4861042629999366</v>
      </c>
    </row>
    <row r="380" spans="1:18" x14ac:dyDescent="0.25">
      <c r="A380" t="s">
        <v>340</v>
      </c>
      <c r="B380" s="1">
        <v>1557.7551020000001</v>
      </c>
      <c r="C380" s="1">
        <v>467.49574560000002</v>
      </c>
      <c r="D380" s="1">
        <v>0.97959183699999997</v>
      </c>
      <c r="E380" s="1">
        <v>0.14285714299999999</v>
      </c>
      <c r="F380" s="1">
        <v>183</v>
      </c>
      <c r="G380" s="1">
        <v>1560.7391299999999</v>
      </c>
      <c r="H380" s="1">
        <v>463.25689699999998</v>
      </c>
      <c r="I380" s="1">
        <v>0.95744680900000001</v>
      </c>
      <c r="J380" s="1">
        <v>0.204029709</v>
      </c>
      <c r="K380" s="1">
        <f>(B380+Table810[[#This Row],[grt]])/2</f>
        <v>1559.247116</v>
      </c>
      <c r="L380" s="1">
        <f>(Table810[[#This Row],[prtsd]]+Table810[[#This Row],[grtsd]])/2</f>
        <v>465.37632129999997</v>
      </c>
      <c r="M380" s="1">
        <f>(Table810[[#This Row],[pacc]]+Table810[[#This Row],[gacc]])/2</f>
        <v>0.96851932299999999</v>
      </c>
      <c r="N380" s="1">
        <f>(Table810[[#This Row],[paccsd]]+Table810[[#This Row],[gaccsd]])/2</f>
        <v>0.17344342600000001</v>
      </c>
      <c r="O380">
        <f>Table810[[#This Row],[mrt]]-(Table810[[#This Row],[macc]]*1000)</f>
        <v>590.72779300000002</v>
      </c>
      <c r="P380" s="9">
        <f>(Table810[[#This Row],[prt]]-Table810[[#This Row],[grt]])</f>
        <v>-2.9840279999998529</v>
      </c>
      <c r="Q380" s="8">
        <f>Table810[[#This Row],[pacc]]-Table810[[#This Row],[gacc]]</f>
        <v>2.2145027999999956E-2</v>
      </c>
      <c r="R380" s="8">
        <f>Table810[[#This Row],[rt_pairing_score]]-Table810[[#This Row],[acc_pairing_score]]</f>
        <v>-3.0061730279998526</v>
      </c>
    </row>
    <row r="381" spans="1:18" x14ac:dyDescent="0.25">
      <c r="A381" t="s">
        <v>406</v>
      </c>
      <c r="B381" s="1">
        <v>1582.08</v>
      </c>
      <c r="C381" s="1">
        <v>388.76664419999997</v>
      </c>
      <c r="D381" s="1">
        <v>1</v>
      </c>
      <c r="E381" s="1">
        <v>0</v>
      </c>
      <c r="F381" s="1">
        <v>144</v>
      </c>
      <c r="G381" s="1">
        <v>1576.5957450000001</v>
      </c>
      <c r="H381" s="1">
        <v>391.95605669999998</v>
      </c>
      <c r="I381" s="1">
        <v>0.97916666699999999</v>
      </c>
      <c r="J381" s="1">
        <v>0.144337567</v>
      </c>
      <c r="K381" s="1">
        <f>(B381+Table810[[#This Row],[grt]])/2</f>
        <v>1579.3378725</v>
      </c>
      <c r="L381" s="1">
        <f>(Table810[[#This Row],[prtsd]]+Table810[[#This Row],[grtsd]])/2</f>
        <v>390.36135044999997</v>
      </c>
      <c r="M381" s="1">
        <f>(Table810[[#This Row],[pacc]]+Table810[[#This Row],[gacc]])/2</f>
        <v>0.98958333349999994</v>
      </c>
      <c r="N381" s="1">
        <f>(Table810[[#This Row],[paccsd]]+Table810[[#This Row],[gaccsd]])/2</f>
        <v>7.21687835E-2</v>
      </c>
      <c r="O381">
        <f>Table810[[#This Row],[mrt]]-(Table810[[#This Row],[macc]]*1000)</f>
        <v>589.75453900000002</v>
      </c>
      <c r="P381" s="9">
        <f>(Table810[[#This Row],[prt]]-Table810[[#This Row],[grt]])</f>
        <v>5.4842549999998482</v>
      </c>
      <c r="Q381" s="8">
        <f>Table810[[#This Row],[pacc]]-Table810[[#This Row],[gacc]]</f>
        <v>2.0833333000000009E-2</v>
      </c>
      <c r="R381" s="8">
        <f>Table810[[#This Row],[rt_pairing_score]]-Table810[[#This Row],[acc_pairing_score]]</f>
        <v>5.4634216669998485</v>
      </c>
    </row>
    <row r="382" spans="1:18" x14ac:dyDescent="0.25">
      <c r="A382" t="s">
        <v>234</v>
      </c>
      <c r="B382" s="1">
        <v>1587.7173909999999</v>
      </c>
      <c r="C382" s="1">
        <v>557.43311159999996</v>
      </c>
      <c r="D382" s="1">
        <v>0.9375</v>
      </c>
      <c r="E382" s="1">
        <v>0.24462302699999999</v>
      </c>
      <c r="F382" s="1">
        <v>336</v>
      </c>
      <c r="G382" s="1">
        <v>1528.875</v>
      </c>
      <c r="H382" s="1">
        <v>550.18687829999999</v>
      </c>
      <c r="I382" s="1">
        <v>1</v>
      </c>
      <c r="J382" s="1">
        <v>0</v>
      </c>
      <c r="K382" s="1">
        <f>(B382+Table810[[#This Row],[grt]])/2</f>
        <v>1558.2961955000001</v>
      </c>
      <c r="L382" s="1">
        <f>(Table810[[#This Row],[prtsd]]+Table810[[#This Row],[grtsd]])/2</f>
        <v>553.80999494999992</v>
      </c>
      <c r="M382" s="1">
        <f>(Table810[[#This Row],[pacc]]+Table810[[#This Row],[gacc]])/2</f>
        <v>0.96875</v>
      </c>
      <c r="N382" s="1">
        <f>(Table810[[#This Row],[paccsd]]+Table810[[#This Row],[gaccsd]])/2</f>
        <v>0.1223115135</v>
      </c>
      <c r="O382">
        <f>Table810[[#This Row],[mrt]]-(Table810[[#This Row],[macc]]*1000)</f>
        <v>589.54619550000007</v>
      </c>
      <c r="P382" s="9">
        <f>(Table810[[#This Row],[prt]]-Table810[[#This Row],[grt]])</f>
        <v>58.842390999999907</v>
      </c>
      <c r="Q382" s="8">
        <f>Table810[[#This Row],[pacc]]-Table810[[#This Row],[gacc]]</f>
        <v>-6.25E-2</v>
      </c>
      <c r="R382" s="8">
        <f>Table810[[#This Row],[rt_pairing_score]]-Table810[[#This Row],[acc_pairing_score]]</f>
        <v>58.904890999999907</v>
      </c>
    </row>
    <row r="383" spans="1:18" x14ac:dyDescent="0.25">
      <c r="A383" t="s">
        <v>226</v>
      </c>
      <c r="B383" s="1">
        <v>1510.66</v>
      </c>
      <c r="C383" s="1">
        <v>515.49265560000003</v>
      </c>
      <c r="D383" s="1">
        <v>0.92</v>
      </c>
      <c r="E383" s="1">
        <v>0.27404751599999999</v>
      </c>
      <c r="F383" s="1">
        <v>369</v>
      </c>
      <c r="G383" s="1">
        <v>1499.9787229999999</v>
      </c>
      <c r="H383" s="1">
        <v>519.50141189999999</v>
      </c>
      <c r="I383" s="1">
        <v>0.91666666699999999</v>
      </c>
      <c r="J383" s="1">
        <v>0.27931019400000001</v>
      </c>
      <c r="K383" s="1">
        <f>(B383+Table810[[#This Row],[grt]])/2</f>
        <v>1505.3193615</v>
      </c>
      <c r="L383" s="1">
        <f>(Table810[[#This Row],[prtsd]]+Table810[[#This Row],[grtsd]])/2</f>
        <v>517.49703375000001</v>
      </c>
      <c r="M383" s="1">
        <f>(Table810[[#This Row],[pacc]]+Table810[[#This Row],[gacc]])/2</f>
        <v>0.91833333350000002</v>
      </c>
      <c r="N383" s="1">
        <f>(Table810[[#This Row],[paccsd]]+Table810[[#This Row],[gaccsd]])/2</f>
        <v>0.276678855</v>
      </c>
      <c r="O383">
        <f>Table810[[#This Row],[mrt]]-(Table810[[#This Row],[macc]]*1000)</f>
        <v>586.98602800000003</v>
      </c>
      <c r="P383" s="9">
        <f>(Table810[[#This Row],[prt]]-Table810[[#This Row],[grt]])</f>
        <v>10.681277000000136</v>
      </c>
      <c r="Q383" s="8">
        <f>Table810[[#This Row],[pacc]]-Table810[[#This Row],[gacc]]</f>
        <v>3.3333330000000494E-3</v>
      </c>
      <c r="R383" s="8">
        <f>Table810[[#This Row],[rt_pairing_score]]-Table810[[#This Row],[acc_pairing_score]]</f>
        <v>10.677943667000136</v>
      </c>
    </row>
    <row r="384" spans="1:18" x14ac:dyDescent="0.25">
      <c r="A384" t="s">
        <v>380</v>
      </c>
      <c r="B384" s="1">
        <v>1548.2244900000001</v>
      </c>
      <c r="C384" s="1">
        <v>449.44564300000002</v>
      </c>
      <c r="D384" s="1">
        <v>1</v>
      </c>
      <c r="E384" s="1">
        <v>0</v>
      </c>
      <c r="F384" s="1">
        <v>14</v>
      </c>
      <c r="G384" s="1">
        <v>1548.729167</v>
      </c>
      <c r="H384" s="1">
        <v>449.21604239999999</v>
      </c>
      <c r="I384" s="1">
        <v>0.9375</v>
      </c>
      <c r="J384" s="1">
        <v>0.24462302699999999</v>
      </c>
      <c r="K384" s="1">
        <f>(B384+Table810[[#This Row],[grt]])/2</f>
        <v>1548.4768285</v>
      </c>
      <c r="L384" s="1">
        <f>(Table810[[#This Row],[prtsd]]+Table810[[#This Row],[grtsd]])/2</f>
        <v>449.33084270000001</v>
      </c>
      <c r="M384" s="1">
        <f>(Table810[[#This Row],[pacc]]+Table810[[#This Row],[gacc]])/2</f>
        <v>0.96875</v>
      </c>
      <c r="N384" s="1">
        <f>(Table810[[#This Row],[paccsd]]+Table810[[#This Row],[gaccsd]])/2</f>
        <v>0.1223115135</v>
      </c>
      <c r="O384">
        <f>Table810[[#This Row],[mrt]]-(Table810[[#This Row],[macc]]*1000)</f>
        <v>579.72682850000001</v>
      </c>
      <c r="P384" s="9">
        <f>(Table810[[#This Row],[prt]]-Table810[[#This Row],[grt]])</f>
        <v>-0.50467699999990145</v>
      </c>
      <c r="Q384" s="8">
        <f>Table810[[#This Row],[pacc]]-Table810[[#This Row],[gacc]]</f>
        <v>6.25E-2</v>
      </c>
      <c r="R384" s="8">
        <f>Table810[[#This Row],[rt_pairing_score]]-Table810[[#This Row],[acc_pairing_score]]</f>
        <v>-0.56717699999990145</v>
      </c>
    </row>
    <row r="385" spans="1:18" x14ac:dyDescent="0.25">
      <c r="A385" t="s">
        <v>275</v>
      </c>
      <c r="B385" s="1">
        <v>1568.7021279999999</v>
      </c>
      <c r="C385" s="1">
        <v>488.83814849999999</v>
      </c>
      <c r="D385" s="1">
        <v>0.95833333300000001</v>
      </c>
      <c r="E385" s="1">
        <v>0.20194093699999999</v>
      </c>
      <c r="F385" s="1">
        <v>148</v>
      </c>
      <c r="G385" s="1">
        <v>1543.625</v>
      </c>
      <c r="H385" s="1">
        <v>479.43591079999999</v>
      </c>
      <c r="I385" s="1">
        <v>1</v>
      </c>
      <c r="J385" s="1">
        <v>0</v>
      </c>
      <c r="K385" s="1">
        <f>(B385+Table810[[#This Row],[grt]])/2</f>
        <v>1556.163564</v>
      </c>
      <c r="L385" s="1">
        <f>(Table810[[#This Row],[prtsd]]+Table810[[#This Row],[grtsd]])/2</f>
        <v>484.13702964999999</v>
      </c>
      <c r="M385" s="1">
        <f>(Table810[[#This Row],[pacc]]+Table810[[#This Row],[gacc]])/2</f>
        <v>0.97916666650000006</v>
      </c>
      <c r="N385" s="1">
        <f>(Table810[[#This Row],[paccsd]]+Table810[[#This Row],[gaccsd]])/2</f>
        <v>0.10097046849999999</v>
      </c>
      <c r="O385">
        <f>Table810[[#This Row],[mrt]]-(Table810[[#This Row],[macc]]*1000)</f>
        <v>576.99689749999993</v>
      </c>
      <c r="P385" s="9">
        <f>(Table810[[#This Row],[prt]]-Table810[[#This Row],[grt]])</f>
        <v>25.077127999999902</v>
      </c>
      <c r="Q385" s="8">
        <f>Table810[[#This Row],[pacc]]-Table810[[#This Row],[gacc]]</f>
        <v>-4.1666666999999991E-2</v>
      </c>
      <c r="R385" s="8">
        <f>Table810[[#This Row],[rt_pairing_score]]-Table810[[#This Row],[acc_pairing_score]]</f>
        <v>25.118794666999904</v>
      </c>
    </row>
    <row r="386" spans="1:18" x14ac:dyDescent="0.25">
      <c r="A386" t="s">
        <v>222</v>
      </c>
      <c r="B386" s="1">
        <v>1511.708333</v>
      </c>
      <c r="C386" s="1">
        <v>459.90512239999998</v>
      </c>
      <c r="D386" s="1">
        <v>0.92</v>
      </c>
      <c r="E386" s="1">
        <v>0.27404751599999999</v>
      </c>
      <c r="F386" s="1">
        <v>224</v>
      </c>
      <c r="G386" s="1">
        <v>1551.5957450000001</v>
      </c>
      <c r="H386" s="1">
        <v>462.62087300000002</v>
      </c>
      <c r="I386" s="1">
        <v>1</v>
      </c>
      <c r="J386" s="1">
        <v>0</v>
      </c>
      <c r="K386" s="1">
        <f>(B386+Table810[[#This Row],[grt]])/2</f>
        <v>1531.6520390000001</v>
      </c>
      <c r="L386" s="1">
        <f>(Table810[[#This Row],[prtsd]]+Table810[[#This Row],[grtsd]])/2</f>
        <v>461.26299770000003</v>
      </c>
      <c r="M386" s="1">
        <f>(Table810[[#This Row],[pacc]]+Table810[[#This Row],[gacc]])/2</f>
        <v>0.96</v>
      </c>
      <c r="N386" s="1">
        <f>(Table810[[#This Row],[paccsd]]+Table810[[#This Row],[gaccsd]])/2</f>
        <v>0.137023758</v>
      </c>
      <c r="O386">
        <f>Table810[[#This Row],[mrt]]-(Table810[[#This Row],[macc]]*1000)</f>
        <v>571.65203900000006</v>
      </c>
      <c r="P386" s="9">
        <f>(Table810[[#This Row],[prt]]-Table810[[#This Row],[grt]])</f>
        <v>-39.88741200000004</v>
      </c>
      <c r="Q386" s="8">
        <f>Table810[[#This Row],[pacc]]-Table810[[#This Row],[gacc]]</f>
        <v>-7.999999999999996E-2</v>
      </c>
      <c r="R386" s="8">
        <f>Table810[[#This Row],[rt_pairing_score]]-Table810[[#This Row],[acc_pairing_score]]</f>
        <v>-39.807412000000042</v>
      </c>
    </row>
    <row r="387" spans="1:18" x14ac:dyDescent="0.25">
      <c r="A387" t="s">
        <v>361</v>
      </c>
      <c r="B387" s="1">
        <v>1549.54</v>
      </c>
      <c r="C387" s="1">
        <v>506.18796259999999</v>
      </c>
      <c r="D387" s="1">
        <v>0.98</v>
      </c>
      <c r="E387" s="1">
        <v>0.141421356</v>
      </c>
      <c r="F387" s="1">
        <v>15</v>
      </c>
      <c r="G387" s="1">
        <v>1501.659574</v>
      </c>
      <c r="H387" s="1">
        <v>488.2248803</v>
      </c>
      <c r="I387" s="1">
        <v>0.93617021300000003</v>
      </c>
      <c r="J387" s="1">
        <v>0.24709224799999999</v>
      </c>
      <c r="K387" s="1">
        <f>(B387+Table810[[#This Row],[grt]])/2</f>
        <v>1525.5997870000001</v>
      </c>
      <c r="L387" s="1">
        <f>(Table810[[#This Row],[prtsd]]+Table810[[#This Row],[grtsd]])/2</f>
        <v>497.20642144999999</v>
      </c>
      <c r="M387" s="1">
        <f>(Table810[[#This Row],[pacc]]+Table810[[#This Row],[gacc]])/2</f>
        <v>0.95808510650000001</v>
      </c>
      <c r="N387" s="1">
        <f>(Table810[[#This Row],[paccsd]]+Table810[[#This Row],[gaccsd]])/2</f>
        <v>0.19425680200000001</v>
      </c>
      <c r="O387">
        <f>Table810[[#This Row],[mrt]]-(Table810[[#This Row],[macc]]*1000)</f>
        <v>567.51468050000005</v>
      </c>
      <c r="P387" s="9">
        <f>(Table810[[#This Row],[prt]]-Table810[[#This Row],[grt]])</f>
        <v>47.880425999999943</v>
      </c>
      <c r="Q387" s="8">
        <f>Table810[[#This Row],[pacc]]-Table810[[#This Row],[gacc]]</f>
        <v>4.3829786999999953E-2</v>
      </c>
      <c r="R387" s="8">
        <f>Table810[[#This Row],[rt_pairing_score]]-Table810[[#This Row],[acc_pairing_score]]</f>
        <v>47.836596212999943</v>
      </c>
    </row>
    <row r="388" spans="1:18" x14ac:dyDescent="0.25">
      <c r="A388" t="s">
        <v>398</v>
      </c>
      <c r="B388" s="1">
        <v>1562.4081630000001</v>
      </c>
      <c r="C388" s="1">
        <v>511.67327299999999</v>
      </c>
      <c r="D388" s="1">
        <v>1</v>
      </c>
      <c r="E388" s="1">
        <v>0</v>
      </c>
      <c r="F388" s="1">
        <v>163</v>
      </c>
      <c r="G388" s="1">
        <v>1546.020833</v>
      </c>
      <c r="H388" s="1">
        <v>474.17514</v>
      </c>
      <c r="I388" s="1">
        <v>0.97916666699999999</v>
      </c>
      <c r="J388" s="1">
        <v>0.144337567</v>
      </c>
      <c r="K388" s="1">
        <f>(B388+Table810[[#This Row],[grt]])/2</f>
        <v>1554.214498</v>
      </c>
      <c r="L388" s="1">
        <f>(Table810[[#This Row],[prtsd]]+Table810[[#This Row],[grtsd]])/2</f>
        <v>492.92420649999997</v>
      </c>
      <c r="M388" s="1">
        <f>(Table810[[#This Row],[pacc]]+Table810[[#This Row],[gacc]])/2</f>
        <v>0.98958333349999994</v>
      </c>
      <c r="N388" s="1">
        <f>(Table810[[#This Row],[paccsd]]+Table810[[#This Row],[gaccsd]])/2</f>
        <v>7.21687835E-2</v>
      </c>
      <c r="O388">
        <f>Table810[[#This Row],[mrt]]-(Table810[[#This Row],[macc]]*1000)</f>
        <v>564.63116450000007</v>
      </c>
      <c r="P388" s="9">
        <f>(Table810[[#This Row],[prt]]-Table810[[#This Row],[grt]])</f>
        <v>16.38733000000002</v>
      </c>
      <c r="Q388" s="8">
        <f>Table810[[#This Row],[pacc]]-Table810[[#This Row],[gacc]]</f>
        <v>2.0833333000000009E-2</v>
      </c>
      <c r="R388" s="8">
        <f>Table810[[#This Row],[rt_pairing_score]]-Table810[[#This Row],[acc_pairing_score]]</f>
        <v>16.366496667000021</v>
      </c>
    </row>
    <row r="389" spans="1:18" x14ac:dyDescent="0.25">
      <c r="A389" t="s">
        <v>399</v>
      </c>
      <c r="B389" s="1">
        <v>1556.6</v>
      </c>
      <c r="C389" s="1">
        <v>402.301897</v>
      </c>
      <c r="D389" s="1">
        <v>1</v>
      </c>
      <c r="E389" s="1">
        <v>0</v>
      </c>
      <c r="F389" s="1">
        <v>146</v>
      </c>
      <c r="G389" s="1">
        <v>1548.020833</v>
      </c>
      <c r="H389" s="1">
        <v>415.44938450000001</v>
      </c>
      <c r="I389" s="1">
        <v>0.97916666699999999</v>
      </c>
      <c r="J389" s="1">
        <v>0.144337567</v>
      </c>
      <c r="K389" s="1">
        <f>(B389+Table810[[#This Row],[grt]])/2</f>
        <v>1552.3104165</v>
      </c>
      <c r="L389" s="1">
        <f>(Table810[[#This Row],[prtsd]]+Table810[[#This Row],[grtsd]])/2</f>
        <v>408.87564075</v>
      </c>
      <c r="M389" s="1">
        <f>(Table810[[#This Row],[pacc]]+Table810[[#This Row],[gacc]])/2</f>
        <v>0.98958333349999994</v>
      </c>
      <c r="N389" s="1">
        <f>(Table810[[#This Row],[paccsd]]+Table810[[#This Row],[gaccsd]])/2</f>
        <v>7.21687835E-2</v>
      </c>
      <c r="O389">
        <f>Table810[[#This Row],[mrt]]-(Table810[[#This Row],[macc]]*1000)</f>
        <v>562.72708299999999</v>
      </c>
      <c r="P389" s="9">
        <f>(Table810[[#This Row],[prt]]-Table810[[#This Row],[grt]])</f>
        <v>8.5791669999998703</v>
      </c>
      <c r="Q389" s="8">
        <f>Table810[[#This Row],[pacc]]-Table810[[#This Row],[gacc]]</f>
        <v>2.0833333000000009E-2</v>
      </c>
      <c r="R389" s="8">
        <f>Table810[[#This Row],[rt_pairing_score]]-Table810[[#This Row],[acc_pairing_score]]</f>
        <v>8.5583336669998697</v>
      </c>
    </row>
    <row r="390" spans="1:18" x14ac:dyDescent="0.25">
      <c r="A390" t="s">
        <v>394</v>
      </c>
      <c r="B390" s="1">
        <v>1527.16</v>
      </c>
      <c r="C390" s="1">
        <v>429.50856399999998</v>
      </c>
      <c r="D390" s="1">
        <v>1</v>
      </c>
      <c r="E390" s="1">
        <v>0</v>
      </c>
      <c r="F390" s="1">
        <v>434</v>
      </c>
      <c r="G390" s="1">
        <v>1559.6382980000001</v>
      </c>
      <c r="H390" s="1">
        <v>425.38388930000002</v>
      </c>
      <c r="I390" s="1">
        <v>0.97872340400000002</v>
      </c>
      <c r="J390" s="1">
        <v>0.145864991</v>
      </c>
      <c r="K390" s="1">
        <f>(B390+Table810[[#This Row],[grt]])/2</f>
        <v>1543.3991490000001</v>
      </c>
      <c r="L390" s="1">
        <f>(Table810[[#This Row],[prtsd]]+Table810[[#This Row],[grtsd]])/2</f>
        <v>427.44622664999997</v>
      </c>
      <c r="M390" s="1">
        <f>(Table810[[#This Row],[pacc]]+Table810[[#This Row],[gacc]])/2</f>
        <v>0.98936170200000007</v>
      </c>
      <c r="N390" s="1">
        <f>(Table810[[#This Row],[paccsd]]+Table810[[#This Row],[gaccsd]])/2</f>
        <v>7.29324955E-2</v>
      </c>
      <c r="O390">
        <f>Table810[[#This Row],[mrt]]-(Table810[[#This Row],[macc]]*1000)</f>
        <v>554.03744700000004</v>
      </c>
      <c r="P390" s="9">
        <f>(Table810[[#This Row],[prt]]-Table810[[#This Row],[grt]])</f>
        <v>-32.478297999999995</v>
      </c>
      <c r="Q390" s="8">
        <f>Table810[[#This Row],[pacc]]-Table810[[#This Row],[gacc]]</f>
        <v>2.1276595999999981E-2</v>
      </c>
      <c r="R390" s="8">
        <f>Table810[[#This Row],[rt_pairing_score]]-Table810[[#This Row],[acc_pairing_score]]</f>
        <v>-32.499574595999995</v>
      </c>
    </row>
    <row r="391" spans="1:18" x14ac:dyDescent="0.25">
      <c r="A391" t="s">
        <v>327</v>
      </c>
      <c r="B391" s="1">
        <v>1532.12</v>
      </c>
      <c r="C391" s="1">
        <v>658.34894410000004</v>
      </c>
      <c r="D391" s="1">
        <v>0.96</v>
      </c>
      <c r="E391" s="1">
        <v>0.197948664</v>
      </c>
      <c r="F391" s="1">
        <v>349</v>
      </c>
      <c r="G391" s="1">
        <v>1498.8297869999999</v>
      </c>
      <c r="H391" s="1">
        <v>625.4890024</v>
      </c>
      <c r="I391" s="1">
        <v>0.97916666699999999</v>
      </c>
      <c r="J391" s="1">
        <v>0.144337567</v>
      </c>
      <c r="K391" s="1">
        <f>(B391+Table810[[#This Row],[grt]])/2</f>
        <v>1515.4748934999998</v>
      </c>
      <c r="L391" s="1">
        <f>(Table810[[#This Row],[prtsd]]+Table810[[#This Row],[grtsd]])/2</f>
        <v>641.91897325000002</v>
      </c>
      <c r="M391" s="1">
        <f>(Table810[[#This Row],[pacc]]+Table810[[#This Row],[gacc]])/2</f>
        <v>0.96958333349999992</v>
      </c>
      <c r="N391" s="1">
        <f>(Table810[[#This Row],[paccsd]]+Table810[[#This Row],[gaccsd]])/2</f>
        <v>0.1711431155</v>
      </c>
      <c r="O391">
        <f>Table810[[#This Row],[mrt]]-(Table810[[#This Row],[macc]]*1000)</f>
        <v>545.89155999999991</v>
      </c>
      <c r="P391" s="9">
        <f>(Table810[[#This Row],[prt]]-Table810[[#This Row],[grt]])</f>
        <v>33.290212999999994</v>
      </c>
      <c r="Q391" s="8">
        <f>Table810[[#This Row],[pacc]]-Table810[[#This Row],[gacc]]</f>
        <v>-1.9166667000000026E-2</v>
      </c>
      <c r="R391" s="8">
        <f>Table810[[#This Row],[rt_pairing_score]]-Table810[[#This Row],[acc_pairing_score]]</f>
        <v>33.309379666999995</v>
      </c>
    </row>
    <row r="392" spans="1:18" x14ac:dyDescent="0.25">
      <c r="A392" t="s">
        <v>305</v>
      </c>
      <c r="B392" s="1">
        <v>1510.54</v>
      </c>
      <c r="C392" s="1">
        <v>468.86633619999998</v>
      </c>
      <c r="D392" s="1">
        <v>0.96</v>
      </c>
      <c r="E392" s="1">
        <v>0.197948664</v>
      </c>
      <c r="F392" s="1">
        <v>120</v>
      </c>
      <c r="G392" s="1">
        <v>1511.3125</v>
      </c>
      <c r="H392" s="1">
        <v>478.7501972</v>
      </c>
      <c r="I392" s="1">
        <v>0.97916666699999999</v>
      </c>
      <c r="J392" s="1">
        <v>0.144337567</v>
      </c>
      <c r="K392" s="1">
        <f>(B392+Table810[[#This Row],[grt]])/2</f>
        <v>1510.92625</v>
      </c>
      <c r="L392" s="1">
        <f>(Table810[[#This Row],[prtsd]]+Table810[[#This Row],[grtsd]])/2</f>
        <v>473.80826669999999</v>
      </c>
      <c r="M392" s="1">
        <f>(Table810[[#This Row],[pacc]]+Table810[[#This Row],[gacc]])/2</f>
        <v>0.96958333349999992</v>
      </c>
      <c r="N392" s="1">
        <f>(Table810[[#This Row],[paccsd]]+Table810[[#This Row],[gaccsd]])/2</f>
        <v>0.1711431155</v>
      </c>
      <c r="O392">
        <f>Table810[[#This Row],[mrt]]-(Table810[[#This Row],[macc]]*1000)</f>
        <v>541.34291650000011</v>
      </c>
      <c r="P392" s="9">
        <f>(Table810[[#This Row],[prt]]-Table810[[#This Row],[grt]])</f>
        <v>-0.77250000000003638</v>
      </c>
      <c r="Q392" s="8">
        <f>Table810[[#This Row],[pacc]]-Table810[[#This Row],[gacc]]</f>
        <v>-1.9166667000000026E-2</v>
      </c>
      <c r="R392" s="8">
        <f>Table810[[#This Row],[rt_pairing_score]]-Table810[[#This Row],[acc_pairing_score]]</f>
        <v>-0.75333333300003635</v>
      </c>
    </row>
    <row r="393" spans="1:18" x14ac:dyDescent="0.25">
      <c r="A393" t="s">
        <v>338</v>
      </c>
      <c r="B393" s="1">
        <v>1483.061224</v>
      </c>
      <c r="C393" s="1">
        <v>441.99054519999999</v>
      </c>
      <c r="D393" s="1">
        <v>0.97959183699999997</v>
      </c>
      <c r="E393" s="1">
        <v>0.14285714299999999</v>
      </c>
      <c r="F393" s="1">
        <v>32</v>
      </c>
      <c r="G393" s="1">
        <v>1488.7021279999999</v>
      </c>
      <c r="H393" s="1">
        <v>446.59854139999999</v>
      </c>
      <c r="I393" s="1">
        <v>0.95833333300000001</v>
      </c>
      <c r="J393" s="1">
        <v>0.20194093699999999</v>
      </c>
      <c r="K393" s="1">
        <f>(B393+Table810[[#This Row],[grt]])/2</f>
        <v>1485.881676</v>
      </c>
      <c r="L393" s="1">
        <f>(Table810[[#This Row],[prtsd]]+Table810[[#This Row],[grtsd]])/2</f>
        <v>444.29454329999999</v>
      </c>
      <c r="M393" s="1">
        <f>(Table810[[#This Row],[pacc]]+Table810[[#This Row],[gacc]])/2</f>
        <v>0.96896258499999999</v>
      </c>
      <c r="N393" s="1">
        <f>(Table810[[#This Row],[paccsd]]+Table810[[#This Row],[gaccsd]])/2</f>
        <v>0.17239904</v>
      </c>
      <c r="O393">
        <f>Table810[[#This Row],[mrt]]-(Table810[[#This Row],[macc]]*1000)</f>
        <v>516.91909099999998</v>
      </c>
      <c r="P393" s="9">
        <f>(Table810[[#This Row],[prt]]-Table810[[#This Row],[grt]])</f>
        <v>-5.640903999999864</v>
      </c>
      <c r="Q393" s="8">
        <f>Table810[[#This Row],[pacc]]-Table810[[#This Row],[gacc]]</f>
        <v>2.1258503999999956E-2</v>
      </c>
      <c r="R393" s="8">
        <f>Table810[[#This Row],[rt_pairing_score]]-Table810[[#This Row],[acc_pairing_score]]</f>
        <v>-5.6621625039998644</v>
      </c>
    </row>
    <row r="394" spans="1:18" x14ac:dyDescent="0.25">
      <c r="A394" t="s">
        <v>400</v>
      </c>
      <c r="B394" s="1">
        <v>1491.88</v>
      </c>
      <c r="C394" s="1">
        <v>510.29789779999999</v>
      </c>
      <c r="D394" s="1">
        <v>1</v>
      </c>
      <c r="E394" s="1">
        <v>0</v>
      </c>
      <c r="F394" s="1">
        <v>98</v>
      </c>
      <c r="G394" s="1">
        <v>1495.104167</v>
      </c>
      <c r="H394" s="1">
        <v>509.4615948</v>
      </c>
      <c r="I394" s="1">
        <v>0.95833333300000001</v>
      </c>
      <c r="J394" s="1">
        <v>0.20194093699999999</v>
      </c>
      <c r="K394" s="1">
        <f>(B394+Table810[[#This Row],[grt]])/2</f>
        <v>1493.4920835</v>
      </c>
      <c r="L394" s="1">
        <f>(Table810[[#This Row],[prtsd]]+Table810[[#This Row],[grtsd]])/2</f>
        <v>509.87974629999997</v>
      </c>
      <c r="M394" s="1">
        <f>(Table810[[#This Row],[pacc]]+Table810[[#This Row],[gacc]])/2</f>
        <v>0.97916666650000006</v>
      </c>
      <c r="N394" s="1">
        <f>(Table810[[#This Row],[paccsd]]+Table810[[#This Row],[gaccsd]])/2</f>
        <v>0.10097046849999999</v>
      </c>
      <c r="O394">
        <f>Table810[[#This Row],[mrt]]-(Table810[[#This Row],[macc]]*1000)</f>
        <v>514.32541700000002</v>
      </c>
      <c r="P394" s="9">
        <f>(Table810[[#This Row],[prt]]-Table810[[#This Row],[grt]])</f>
        <v>-3.2241669999998521</v>
      </c>
      <c r="Q394" s="8">
        <f>Table810[[#This Row],[pacc]]-Table810[[#This Row],[gacc]]</f>
        <v>4.1666666999999991E-2</v>
      </c>
      <c r="R394" s="8">
        <f>Table810[[#This Row],[rt_pairing_score]]-Table810[[#This Row],[acc_pairing_score]]</f>
        <v>-3.265833666999852</v>
      </c>
    </row>
    <row r="395" spans="1:18" x14ac:dyDescent="0.25">
      <c r="A395" t="s">
        <v>353</v>
      </c>
      <c r="B395" s="1">
        <v>1541.08</v>
      </c>
      <c r="C395" s="1">
        <v>513.22047769999995</v>
      </c>
      <c r="D395" s="1">
        <v>0.98</v>
      </c>
      <c r="E395" s="1">
        <v>0.141421356</v>
      </c>
      <c r="F395" s="1">
        <v>59</v>
      </c>
      <c r="G395" s="1">
        <v>1442.914894</v>
      </c>
      <c r="H395" s="1">
        <v>484.92513229999997</v>
      </c>
      <c r="I395" s="1">
        <v>0.97916666699999999</v>
      </c>
      <c r="J395" s="1">
        <v>0.144337567</v>
      </c>
      <c r="K395" s="1">
        <f>(B395+Table810[[#This Row],[grt]])/2</f>
        <v>1491.997447</v>
      </c>
      <c r="L395" s="1">
        <f>(Table810[[#This Row],[prtsd]]+Table810[[#This Row],[grtsd]])/2</f>
        <v>499.07280499999996</v>
      </c>
      <c r="M395" s="1">
        <f>(Table810[[#This Row],[pacc]]+Table810[[#This Row],[gacc]])/2</f>
        <v>0.97958333349999993</v>
      </c>
      <c r="N395" s="1">
        <f>(Table810[[#This Row],[paccsd]]+Table810[[#This Row],[gaccsd]])/2</f>
        <v>0.1428794615</v>
      </c>
      <c r="O395">
        <f>Table810[[#This Row],[mrt]]-(Table810[[#This Row],[macc]]*1000)</f>
        <v>512.41411349999998</v>
      </c>
      <c r="P395" s="9">
        <f>(Table810[[#This Row],[prt]]-Table810[[#This Row],[grt]])</f>
        <v>98.165105999999923</v>
      </c>
      <c r="Q395" s="8">
        <f>Table810[[#This Row],[pacc]]-Table810[[#This Row],[gacc]]</f>
        <v>8.3333299999999166E-4</v>
      </c>
      <c r="R395" s="8">
        <f>Table810[[#This Row],[rt_pairing_score]]-Table810[[#This Row],[acc_pairing_score]]</f>
        <v>98.164272666999921</v>
      </c>
    </row>
    <row r="396" spans="1:18" x14ac:dyDescent="0.25">
      <c r="A396" t="s">
        <v>317</v>
      </c>
      <c r="B396" s="1">
        <v>1462.816327</v>
      </c>
      <c r="C396" s="1">
        <v>438.05044770000001</v>
      </c>
      <c r="D396" s="1">
        <v>0.96</v>
      </c>
      <c r="E396" s="1">
        <v>0.197948664</v>
      </c>
      <c r="F396" s="1">
        <v>190</v>
      </c>
      <c r="G396" s="1">
        <v>1475.291667</v>
      </c>
      <c r="H396" s="1">
        <v>430.95060480000001</v>
      </c>
      <c r="I396" s="1">
        <v>0.95833333300000001</v>
      </c>
      <c r="J396" s="1">
        <v>0.20194093699999999</v>
      </c>
      <c r="K396" s="1">
        <f>(B396+Table810[[#This Row],[grt]])/2</f>
        <v>1469.053997</v>
      </c>
      <c r="L396" s="1">
        <f>(Table810[[#This Row],[prtsd]]+Table810[[#This Row],[grtsd]])/2</f>
        <v>434.50052625000001</v>
      </c>
      <c r="M396" s="1">
        <f>(Table810[[#This Row],[pacc]]+Table810[[#This Row],[gacc]])/2</f>
        <v>0.95916666650000004</v>
      </c>
      <c r="N396" s="1">
        <f>(Table810[[#This Row],[paccsd]]+Table810[[#This Row],[gaccsd]])/2</f>
        <v>0.19994480049999999</v>
      </c>
      <c r="O396">
        <f>Table810[[#This Row],[mrt]]-(Table810[[#This Row],[macc]]*1000)</f>
        <v>509.88733049999996</v>
      </c>
      <c r="P396" s="9">
        <f>(Table810[[#This Row],[prt]]-Table810[[#This Row],[grt]])</f>
        <v>-12.47533999999996</v>
      </c>
      <c r="Q396" s="8">
        <f>Table810[[#This Row],[pacc]]-Table810[[#This Row],[gacc]]</f>
        <v>1.666666999999955E-3</v>
      </c>
      <c r="R396" s="8">
        <f>Table810[[#This Row],[rt_pairing_score]]-Table810[[#This Row],[acc_pairing_score]]</f>
        <v>-12.47700666699996</v>
      </c>
    </row>
    <row r="397" spans="1:18" x14ac:dyDescent="0.25">
      <c r="A397" t="s">
        <v>250</v>
      </c>
      <c r="B397" s="1">
        <v>1468.4081630000001</v>
      </c>
      <c r="C397" s="1">
        <v>447.52546100000001</v>
      </c>
      <c r="D397" s="1">
        <v>0.93877551000000004</v>
      </c>
      <c r="E397" s="1">
        <v>0.24222607099999999</v>
      </c>
      <c r="F397" s="1">
        <v>41</v>
      </c>
      <c r="G397" s="1">
        <v>1486.125</v>
      </c>
      <c r="H397" s="1">
        <v>451.8811096</v>
      </c>
      <c r="I397" s="1">
        <v>1</v>
      </c>
      <c r="J397" s="1">
        <v>0</v>
      </c>
      <c r="K397" s="1">
        <f>(B397+Table810[[#This Row],[grt]])/2</f>
        <v>1477.2665815</v>
      </c>
      <c r="L397" s="1">
        <f>(Table810[[#This Row],[prtsd]]+Table810[[#This Row],[grtsd]])/2</f>
        <v>449.7032853</v>
      </c>
      <c r="M397" s="1">
        <f>(Table810[[#This Row],[pacc]]+Table810[[#This Row],[gacc]])/2</f>
        <v>0.96938775500000007</v>
      </c>
      <c r="N397" s="1">
        <f>(Table810[[#This Row],[paccsd]]+Table810[[#This Row],[gaccsd]])/2</f>
        <v>0.12111303549999999</v>
      </c>
      <c r="O397">
        <f>Table810[[#This Row],[mrt]]-(Table810[[#This Row],[macc]]*1000)</f>
        <v>507.87882649999995</v>
      </c>
      <c r="P397" s="9">
        <f>(Table810[[#This Row],[prt]]-Table810[[#This Row],[grt]])</f>
        <v>-17.716836999999941</v>
      </c>
      <c r="Q397" s="8">
        <f>Table810[[#This Row],[pacc]]-Table810[[#This Row],[gacc]]</f>
        <v>-6.1224489999999965E-2</v>
      </c>
      <c r="R397" s="8">
        <f>Table810[[#This Row],[rt_pairing_score]]-Table810[[#This Row],[acc_pairing_score]]</f>
        <v>-17.655612509999941</v>
      </c>
    </row>
    <row r="398" spans="1:18" x14ac:dyDescent="0.25">
      <c r="A398" t="s">
        <v>286</v>
      </c>
      <c r="B398" s="1">
        <v>1484.895833</v>
      </c>
      <c r="C398" s="1">
        <v>472.82465999999999</v>
      </c>
      <c r="D398" s="1">
        <v>0.95918367299999996</v>
      </c>
      <c r="E398" s="1">
        <v>0.19991494800000001</v>
      </c>
      <c r="F398" s="1">
        <v>376</v>
      </c>
      <c r="G398" s="1">
        <v>1439.191489</v>
      </c>
      <c r="H398" s="1">
        <v>473.15732459999998</v>
      </c>
      <c r="I398" s="1">
        <v>0.95744680900000001</v>
      </c>
      <c r="J398" s="1">
        <v>0.204029709</v>
      </c>
      <c r="K398" s="1">
        <f>(B398+Table810[[#This Row],[grt]])/2</f>
        <v>1462.0436610000002</v>
      </c>
      <c r="L398" s="1">
        <f>(Table810[[#This Row],[prtsd]]+Table810[[#This Row],[grtsd]])/2</f>
        <v>472.99099230000002</v>
      </c>
      <c r="M398" s="1">
        <f>(Table810[[#This Row],[pacc]]+Table810[[#This Row],[gacc]])/2</f>
        <v>0.95831524099999998</v>
      </c>
      <c r="N398" s="1">
        <f>(Table810[[#This Row],[paccsd]]+Table810[[#This Row],[gaccsd]])/2</f>
        <v>0.20197232850000002</v>
      </c>
      <c r="O398">
        <f>Table810[[#This Row],[mrt]]-(Table810[[#This Row],[macc]]*1000)</f>
        <v>503.72842000000014</v>
      </c>
      <c r="P398" s="9">
        <f>(Table810[[#This Row],[prt]]-Table810[[#This Row],[grt]])</f>
        <v>45.704343999999992</v>
      </c>
      <c r="Q398" s="8">
        <f>Table810[[#This Row],[pacc]]-Table810[[#This Row],[gacc]]</f>
        <v>1.7368639999999491E-3</v>
      </c>
      <c r="R398" s="8">
        <f>Table810[[#This Row],[rt_pairing_score]]-Table810[[#This Row],[acc_pairing_score]]</f>
        <v>45.70260713599999</v>
      </c>
    </row>
    <row r="399" spans="1:18" x14ac:dyDescent="0.25">
      <c r="A399" t="s">
        <v>392</v>
      </c>
      <c r="B399" s="1">
        <v>1497.5102039999999</v>
      </c>
      <c r="C399" s="1">
        <v>548.68422620000001</v>
      </c>
      <c r="D399" s="1">
        <v>1</v>
      </c>
      <c r="E399" s="1">
        <v>0</v>
      </c>
      <c r="F399" s="1">
        <v>101</v>
      </c>
      <c r="G399" s="1">
        <v>1507.2826090000001</v>
      </c>
      <c r="H399" s="1">
        <v>551.32513749999998</v>
      </c>
      <c r="I399" s="1">
        <v>1</v>
      </c>
      <c r="J399" s="1">
        <v>0</v>
      </c>
      <c r="K399" s="1">
        <f>(B399+Table810[[#This Row],[grt]])/2</f>
        <v>1502.3964065</v>
      </c>
      <c r="L399" s="1">
        <f>(Table810[[#This Row],[prtsd]]+Table810[[#This Row],[grtsd]])/2</f>
        <v>550.00468185</v>
      </c>
      <c r="M399" s="1">
        <f>(Table810[[#This Row],[pacc]]+Table810[[#This Row],[gacc]])/2</f>
        <v>1</v>
      </c>
      <c r="N399" s="1">
        <f>(Table810[[#This Row],[paccsd]]+Table810[[#This Row],[gaccsd]])/2</f>
        <v>0</v>
      </c>
      <c r="O399">
        <f>Table810[[#This Row],[mrt]]-(Table810[[#This Row],[macc]]*1000)</f>
        <v>502.39640650000001</v>
      </c>
      <c r="P399" s="9">
        <f>(Table810[[#This Row],[prt]]-Table810[[#This Row],[grt]])</f>
        <v>-9.7724050000001625</v>
      </c>
      <c r="Q399" s="8">
        <f>Table810[[#This Row],[pacc]]-Table810[[#This Row],[gacc]]</f>
        <v>0</v>
      </c>
      <c r="R399" s="8">
        <f>Table810[[#This Row],[rt_pairing_score]]-Table810[[#This Row],[acc_pairing_score]]</f>
        <v>-9.7724050000001625</v>
      </c>
    </row>
    <row r="400" spans="1:18" x14ac:dyDescent="0.25">
      <c r="A400" t="s">
        <v>386</v>
      </c>
      <c r="B400" s="1">
        <v>1499.46</v>
      </c>
      <c r="C400" s="1">
        <v>407.58222960000001</v>
      </c>
      <c r="D400" s="1">
        <v>1</v>
      </c>
      <c r="E400" s="1">
        <v>0</v>
      </c>
      <c r="F400" s="1">
        <v>185</v>
      </c>
      <c r="G400" s="1">
        <v>1501.875</v>
      </c>
      <c r="H400" s="1">
        <v>414.06637480000001</v>
      </c>
      <c r="I400" s="1">
        <v>1</v>
      </c>
      <c r="J400" s="1">
        <v>0</v>
      </c>
      <c r="K400" s="1">
        <f>(B400+Table810[[#This Row],[grt]])/2</f>
        <v>1500.6675</v>
      </c>
      <c r="L400" s="1">
        <f>(Table810[[#This Row],[prtsd]]+Table810[[#This Row],[grtsd]])/2</f>
        <v>410.82430220000003</v>
      </c>
      <c r="M400" s="1">
        <f>(Table810[[#This Row],[pacc]]+Table810[[#This Row],[gacc]])/2</f>
        <v>1</v>
      </c>
      <c r="N400" s="1">
        <f>(Table810[[#This Row],[paccsd]]+Table810[[#This Row],[gaccsd]])/2</f>
        <v>0</v>
      </c>
      <c r="O400">
        <f>Table810[[#This Row],[mrt]]-(Table810[[#This Row],[macc]]*1000)</f>
        <v>500.66750000000002</v>
      </c>
      <c r="P400" s="9">
        <f>(Table810[[#This Row],[prt]]-Table810[[#This Row],[grt]])</f>
        <v>-2.4149999999999636</v>
      </c>
      <c r="Q400" s="8">
        <f>Table810[[#This Row],[pacc]]-Table810[[#This Row],[gacc]]</f>
        <v>0</v>
      </c>
      <c r="R400" s="8">
        <f>Table810[[#This Row],[rt_pairing_score]]-Table810[[#This Row],[acc_pairing_score]]</f>
        <v>-2.4149999999999636</v>
      </c>
    </row>
    <row r="401" spans="1:18" x14ac:dyDescent="0.25">
      <c r="A401" t="s">
        <v>331</v>
      </c>
      <c r="B401" s="1">
        <v>1444.645833</v>
      </c>
      <c r="C401" s="1">
        <v>426.6347528</v>
      </c>
      <c r="D401" s="1">
        <v>0.97916666699999999</v>
      </c>
      <c r="E401" s="1">
        <v>0.144337567</v>
      </c>
      <c r="F401" s="1">
        <v>241</v>
      </c>
      <c r="G401" s="1">
        <v>1506.7173909999999</v>
      </c>
      <c r="H401" s="1">
        <v>441.09347270000001</v>
      </c>
      <c r="I401" s="1">
        <v>0.97826086999999995</v>
      </c>
      <c r="J401" s="1">
        <v>0.14744195600000001</v>
      </c>
      <c r="K401" s="1">
        <f>(B401+Table810[[#This Row],[grt]])/2</f>
        <v>1475.6816119999999</v>
      </c>
      <c r="L401" s="1">
        <f>(Table810[[#This Row],[prtsd]]+Table810[[#This Row],[grtsd]])/2</f>
        <v>433.86411275</v>
      </c>
      <c r="M401" s="1">
        <f>(Table810[[#This Row],[pacc]]+Table810[[#This Row],[gacc]])/2</f>
        <v>0.97871376850000003</v>
      </c>
      <c r="N401" s="1">
        <f>(Table810[[#This Row],[paccsd]]+Table810[[#This Row],[gaccsd]])/2</f>
        <v>0.14588976149999999</v>
      </c>
      <c r="O401">
        <f>Table810[[#This Row],[mrt]]-(Table810[[#This Row],[macc]]*1000)</f>
        <v>496.96784349999984</v>
      </c>
      <c r="P401" s="9">
        <f>(Table810[[#This Row],[prt]]-Table810[[#This Row],[grt]])</f>
        <v>-62.071557999999868</v>
      </c>
      <c r="Q401" s="8">
        <f>Table810[[#This Row],[pacc]]-Table810[[#This Row],[gacc]]</f>
        <v>9.0579700000004149E-4</v>
      </c>
      <c r="R401" s="8">
        <f>Table810[[#This Row],[rt_pairing_score]]-Table810[[#This Row],[acc_pairing_score]]</f>
        <v>-62.07246379699987</v>
      </c>
    </row>
    <row r="402" spans="1:18" x14ac:dyDescent="0.25">
      <c r="A402" t="s">
        <v>357</v>
      </c>
      <c r="B402" s="1">
        <v>1472.346939</v>
      </c>
      <c r="C402" s="1">
        <v>416.62305859999998</v>
      </c>
      <c r="D402" s="1">
        <v>0.98</v>
      </c>
      <c r="E402" s="1">
        <v>0.141421356</v>
      </c>
      <c r="F402" s="1">
        <v>67</v>
      </c>
      <c r="G402" s="1">
        <v>1459.395833</v>
      </c>
      <c r="H402" s="1">
        <v>417.75706769999999</v>
      </c>
      <c r="I402" s="1">
        <v>0.97916666699999999</v>
      </c>
      <c r="J402" s="1">
        <v>0.144337567</v>
      </c>
      <c r="K402" s="1">
        <f>(B402+Table810[[#This Row],[grt]])/2</f>
        <v>1465.871386</v>
      </c>
      <c r="L402" s="1">
        <f>(Table810[[#This Row],[prtsd]]+Table810[[#This Row],[grtsd]])/2</f>
        <v>417.19006315000001</v>
      </c>
      <c r="M402" s="1">
        <f>(Table810[[#This Row],[pacc]]+Table810[[#This Row],[gacc]])/2</f>
        <v>0.97958333349999993</v>
      </c>
      <c r="N402" s="1">
        <f>(Table810[[#This Row],[paccsd]]+Table810[[#This Row],[gaccsd]])/2</f>
        <v>0.1428794615</v>
      </c>
      <c r="O402">
        <f>Table810[[#This Row],[mrt]]-(Table810[[#This Row],[macc]]*1000)</f>
        <v>486.28805250000005</v>
      </c>
      <c r="P402" s="9">
        <f>(Table810[[#This Row],[prt]]-Table810[[#This Row],[grt]])</f>
        <v>12.951105999999982</v>
      </c>
      <c r="Q402" s="8">
        <f>Table810[[#This Row],[pacc]]-Table810[[#This Row],[gacc]]</f>
        <v>8.3333299999999166E-4</v>
      </c>
      <c r="R402" s="8">
        <f>Table810[[#This Row],[rt_pairing_score]]-Table810[[#This Row],[acc_pairing_score]]</f>
        <v>12.950272666999982</v>
      </c>
    </row>
    <row r="403" spans="1:18" x14ac:dyDescent="0.25">
      <c r="A403" t="s">
        <v>390</v>
      </c>
      <c r="B403" s="1">
        <v>1554.387755</v>
      </c>
      <c r="C403" s="1">
        <v>572.7824564</v>
      </c>
      <c r="D403" s="1">
        <v>1</v>
      </c>
      <c r="E403" s="1">
        <v>0</v>
      </c>
      <c r="F403" s="1">
        <v>68</v>
      </c>
      <c r="G403" s="1">
        <v>1394.604167</v>
      </c>
      <c r="H403" s="1">
        <v>562.25385119999999</v>
      </c>
      <c r="I403" s="1">
        <v>1</v>
      </c>
      <c r="J403" s="1">
        <v>0</v>
      </c>
      <c r="K403" s="1">
        <f>(B403+Table810[[#This Row],[grt]])/2</f>
        <v>1474.4959610000001</v>
      </c>
      <c r="L403" s="1">
        <f>(Table810[[#This Row],[prtsd]]+Table810[[#This Row],[grtsd]])/2</f>
        <v>567.51815379999994</v>
      </c>
      <c r="M403" s="1">
        <f>(Table810[[#This Row],[pacc]]+Table810[[#This Row],[gacc]])/2</f>
        <v>1</v>
      </c>
      <c r="N403" s="1">
        <f>(Table810[[#This Row],[paccsd]]+Table810[[#This Row],[gaccsd]])/2</f>
        <v>0</v>
      </c>
      <c r="O403">
        <f>Table810[[#This Row],[mrt]]-(Table810[[#This Row],[macc]]*1000)</f>
        <v>474.49596100000008</v>
      </c>
      <c r="P403" s="9">
        <f>(Table810[[#This Row],[prt]]-Table810[[#This Row],[grt]])</f>
        <v>159.78358800000001</v>
      </c>
      <c r="Q403" s="8">
        <f>Table810[[#This Row],[pacc]]-Table810[[#This Row],[gacc]]</f>
        <v>0</v>
      </c>
      <c r="R403" s="8">
        <f>Table810[[#This Row],[rt_pairing_score]]-Table810[[#This Row],[acc_pairing_score]]</f>
        <v>159.78358800000001</v>
      </c>
    </row>
    <row r="404" spans="1:18" x14ac:dyDescent="0.25">
      <c r="A404" t="s">
        <v>344</v>
      </c>
      <c r="B404" s="1">
        <v>1431.3673470000001</v>
      </c>
      <c r="C404" s="1">
        <v>332.34906940000002</v>
      </c>
      <c r="D404" s="1">
        <v>0.97959183699999997</v>
      </c>
      <c r="E404" s="1">
        <v>0.14285714299999999</v>
      </c>
      <c r="F404" s="1">
        <v>38</v>
      </c>
      <c r="G404" s="1">
        <v>1447.851064</v>
      </c>
      <c r="H404" s="1">
        <v>330.10083959999997</v>
      </c>
      <c r="I404" s="1">
        <v>0.97872340400000002</v>
      </c>
      <c r="J404" s="1">
        <v>0.145864991</v>
      </c>
      <c r="K404" s="1">
        <f>(B404+Table810[[#This Row],[grt]])/2</f>
        <v>1439.6092054999999</v>
      </c>
      <c r="L404" s="1">
        <f>(Table810[[#This Row],[prtsd]]+Table810[[#This Row],[grtsd]])/2</f>
        <v>331.22495449999997</v>
      </c>
      <c r="M404" s="1">
        <f>(Table810[[#This Row],[pacc]]+Table810[[#This Row],[gacc]])/2</f>
        <v>0.97915762049999999</v>
      </c>
      <c r="N404" s="1">
        <f>(Table810[[#This Row],[paccsd]]+Table810[[#This Row],[gaccsd]])/2</f>
        <v>0.14436106700000001</v>
      </c>
      <c r="O404">
        <f>Table810[[#This Row],[mrt]]-(Table810[[#This Row],[macc]]*1000)</f>
        <v>460.45158499999991</v>
      </c>
      <c r="P404" s="9">
        <f>(Table810[[#This Row],[prt]]-Table810[[#This Row],[grt]])</f>
        <v>-16.483716999999842</v>
      </c>
      <c r="Q404" s="8">
        <f>Table810[[#This Row],[pacc]]-Table810[[#This Row],[gacc]]</f>
        <v>8.6843299999994628E-4</v>
      </c>
      <c r="R404" s="8">
        <f>Table810[[#This Row],[rt_pairing_score]]-Table810[[#This Row],[acc_pairing_score]]</f>
        <v>-16.484585432999843</v>
      </c>
    </row>
    <row r="405" spans="1:18" x14ac:dyDescent="0.25">
      <c r="A405" t="s">
        <v>369</v>
      </c>
      <c r="B405" s="1">
        <v>1461.88</v>
      </c>
      <c r="C405" s="1">
        <v>518.05714920000003</v>
      </c>
      <c r="D405" s="1">
        <v>0.98</v>
      </c>
      <c r="E405" s="1">
        <v>0.141421356</v>
      </c>
      <c r="F405" s="1">
        <v>88</v>
      </c>
      <c r="G405" s="1">
        <v>1393.3191489999999</v>
      </c>
      <c r="H405" s="1">
        <v>538.74036279999996</v>
      </c>
      <c r="I405" s="1">
        <v>0.95744680900000001</v>
      </c>
      <c r="J405" s="1">
        <v>0.204029709</v>
      </c>
      <c r="K405" s="1">
        <f>(B405+Table810[[#This Row],[grt]])/2</f>
        <v>1427.5995745</v>
      </c>
      <c r="L405" s="1">
        <f>(Table810[[#This Row],[prtsd]]+Table810[[#This Row],[grtsd]])/2</f>
        <v>528.39875600000005</v>
      </c>
      <c r="M405" s="1">
        <f>(Table810[[#This Row],[pacc]]+Table810[[#This Row],[gacc]])/2</f>
        <v>0.96872340449999994</v>
      </c>
      <c r="N405" s="1">
        <f>(Table810[[#This Row],[paccsd]]+Table810[[#This Row],[gaccsd]])/2</f>
        <v>0.1727255325</v>
      </c>
      <c r="O405">
        <f>Table810[[#This Row],[mrt]]-(Table810[[#This Row],[macc]]*1000)</f>
        <v>458.87617000000012</v>
      </c>
      <c r="P405" s="9">
        <f>(Table810[[#This Row],[prt]]-Table810[[#This Row],[grt]])</f>
        <v>68.560851000000184</v>
      </c>
      <c r="Q405" s="8">
        <f>Table810[[#This Row],[pacc]]-Table810[[#This Row],[gacc]]</f>
        <v>2.2553190999999972E-2</v>
      </c>
      <c r="R405" s="8">
        <f>Table810[[#This Row],[rt_pairing_score]]-Table810[[#This Row],[acc_pairing_score]]</f>
        <v>68.538297809000184</v>
      </c>
    </row>
    <row r="406" spans="1:18" x14ac:dyDescent="0.25">
      <c r="A406" t="s">
        <v>389</v>
      </c>
      <c r="B406" s="1">
        <v>1515.346939</v>
      </c>
      <c r="C406" s="1">
        <v>703.22339829999999</v>
      </c>
      <c r="D406" s="1">
        <v>1</v>
      </c>
      <c r="E406" s="1">
        <v>0</v>
      </c>
      <c r="F406" s="1">
        <v>173</v>
      </c>
      <c r="G406" s="1">
        <v>1304.4042549999999</v>
      </c>
      <c r="H406" s="1">
        <v>513.80442310000001</v>
      </c>
      <c r="I406" s="1">
        <v>0.91666666699999999</v>
      </c>
      <c r="J406" s="1">
        <v>0.27931019400000001</v>
      </c>
      <c r="K406" s="1">
        <f>(B406+Table810[[#This Row],[grt]])/2</f>
        <v>1409.875597</v>
      </c>
      <c r="L406" s="1">
        <f>(Table810[[#This Row],[prtsd]]+Table810[[#This Row],[grtsd]])/2</f>
        <v>608.5139107</v>
      </c>
      <c r="M406" s="1">
        <f>(Table810[[#This Row],[pacc]]+Table810[[#This Row],[gacc]])/2</f>
        <v>0.95833333349999994</v>
      </c>
      <c r="N406" s="1">
        <f>(Table810[[#This Row],[paccsd]]+Table810[[#This Row],[gaccsd]])/2</f>
        <v>0.13965509700000001</v>
      </c>
      <c r="O406">
        <f>Table810[[#This Row],[mrt]]-(Table810[[#This Row],[macc]]*1000)</f>
        <v>451.54226349999999</v>
      </c>
      <c r="P406" s="9">
        <f>(Table810[[#This Row],[prt]]-Table810[[#This Row],[grt]])</f>
        <v>210.9426840000001</v>
      </c>
      <c r="Q406" s="8">
        <f>Table810[[#This Row],[pacc]]-Table810[[#This Row],[gacc]]</f>
        <v>8.3333333000000009E-2</v>
      </c>
      <c r="R406" s="8">
        <f>Table810[[#This Row],[rt_pairing_score]]-Table810[[#This Row],[acc_pairing_score]]</f>
        <v>210.85935066700009</v>
      </c>
    </row>
    <row r="407" spans="1:18" x14ac:dyDescent="0.25">
      <c r="A407" t="s">
        <v>375</v>
      </c>
      <c r="B407" s="1">
        <v>1394.88</v>
      </c>
      <c r="C407" s="1">
        <v>516.62458800000002</v>
      </c>
      <c r="D407" s="1">
        <v>1</v>
      </c>
      <c r="E407" s="1">
        <v>0</v>
      </c>
      <c r="F407" s="1">
        <v>31</v>
      </c>
      <c r="G407" s="1">
        <v>1419.1875</v>
      </c>
      <c r="H407" s="1">
        <v>521.24979340000004</v>
      </c>
      <c r="I407" s="1">
        <v>0.95833333300000001</v>
      </c>
      <c r="J407" s="1">
        <v>0.20194093699999999</v>
      </c>
      <c r="K407" s="1">
        <f>(B407+Table810[[#This Row],[grt]])/2</f>
        <v>1407.0337500000001</v>
      </c>
      <c r="L407" s="1">
        <f>(Table810[[#This Row],[prtsd]]+Table810[[#This Row],[grtsd]])/2</f>
        <v>518.93719069999997</v>
      </c>
      <c r="M407" s="1">
        <f>(Table810[[#This Row],[pacc]]+Table810[[#This Row],[gacc]])/2</f>
        <v>0.97916666650000006</v>
      </c>
      <c r="N407" s="1">
        <f>(Table810[[#This Row],[paccsd]]+Table810[[#This Row],[gaccsd]])/2</f>
        <v>0.10097046849999999</v>
      </c>
      <c r="O407">
        <f>Table810[[#This Row],[mrt]]-(Table810[[#This Row],[macc]]*1000)</f>
        <v>427.86708350000004</v>
      </c>
      <c r="P407" s="9">
        <f>(Table810[[#This Row],[prt]]-Table810[[#This Row],[grt]])</f>
        <v>-24.307499999999891</v>
      </c>
      <c r="Q407" s="8">
        <f>Table810[[#This Row],[pacc]]-Table810[[#This Row],[gacc]]</f>
        <v>4.1666666999999991E-2</v>
      </c>
      <c r="R407" s="8">
        <f>Table810[[#This Row],[rt_pairing_score]]-Table810[[#This Row],[acc_pairing_score]]</f>
        <v>-24.349166666999892</v>
      </c>
    </row>
    <row r="408" spans="1:18" x14ac:dyDescent="0.25">
      <c r="A408" t="s">
        <v>312</v>
      </c>
      <c r="B408" s="1">
        <v>1379.46</v>
      </c>
      <c r="C408" s="1">
        <v>415.39659979999999</v>
      </c>
      <c r="D408" s="1">
        <v>0.96</v>
      </c>
      <c r="E408" s="1">
        <v>0.197948664</v>
      </c>
      <c r="F408" s="1">
        <v>223</v>
      </c>
      <c r="G408" s="1">
        <v>1381.729167</v>
      </c>
      <c r="H408" s="1">
        <v>435.71417229999997</v>
      </c>
      <c r="I408" s="1">
        <v>0.95833333300000001</v>
      </c>
      <c r="J408" s="1">
        <v>0.20194093699999999</v>
      </c>
      <c r="K408" s="1">
        <f>(B408+Table810[[#This Row],[grt]])/2</f>
        <v>1380.5945835</v>
      </c>
      <c r="L408" s="1">
        <f>(Table810[[#This Row],[prtsd]]+Table810[[#This Row],[grtsd]])/2</f>
        <v>425.55538604999998</v>
      </c>
      <c r="M408" s="1">
        <f>(Table810[[#This Row],[pacc]]+Table810[[#This Row],[gacc]])/2</f>
        <v>0.95916666650000004</v>
      </c>
      <c r="N408" s="1">
        <f>(Table810[[#This Row],[paccsd]]+Table810[[#This Row],[gaccsd]])/2</f>
        <v>0.19994480049999999</v>
      </c>
      <c r="O408">
        <f>Table810[[#This Row],[mrt]]-(Table810[[#This Row],[macc]]*1000)</f>
        <v>421.42791699999998</v>
      </c>
      <c r="P408" s="9">
        <f>(Table810[[#This Row],[prt]]-Table810[[#This Row],[grt]])</f>
        <v>-2.2691669999999249</v>
      </c>
      <c r="Q408" s="8">
        <f>Table810[[#This Row],[pacc]]-Table810[[#This Row],[gacc]]</f>
        <v>1.666666999999955E-3</v>
      </c>
      <c r="R408" s="8">
        <f>Table810[[#This Row],[rt_pairing_score]]-Table810[[#This Row],[acc_pairing_score]]</f>
        <v>-2.2708336669999247</v>
      </c>
    </row>
    <row r="409" spans="1:18" x14ac:dyDescent="0.25">
      <c r="A409" t="s">
        <v>372</v>
      </c>
      <c r="B409" s="1">
        <v>1422.816327</v>
      </c>
      <c r="C409" s="1">
        <v>447.95794419999999</v>
      </c>
      <c r="D409" s="1">
        <v>1</v>
      </c>
      <c r="E409" s="1">
        <v>0</v>
      </c>
      <c r="F409" s="1">
        <v>49</v>
      </c>
      <c r="G409" s="1">
        <v>1403.625</v>
      </c>
      <c r="H409" s="1">
        <v>434.90828699999997</v>
      </c>
      <c r="I409" s="1">
        <v>1</v>
      </c>
      <c r="J409" s="1">
        <v>0</v>
      </c>
      <c r="K409" s="1">
        <f>(B409+Table810[[#This Row],[grt]])/2</f>
        <v>1413.2206635</v>
      </c>
      <c r="L409" s="1">
        <f>(Table810[[#This Row],[prtsd]]+Table810[[#This Row],[grtsd]])/2</f>
        <v>441.43311559999995</v>
      </c>
      <c r="M409" s="1">
        <f>(Table810[[#This Row],[pacc]]+Table810[[#This Row],[gacc]])/2</f>
        <v>1</v>
      </c>
      <c r="N409" s="1">
        <f>(Table810[[#This Row],[paccsd]]+Table810[[#This Row],[gaccsd]])/2</f>
        <v>0</v>
      </c>
      <c r="O409">
        <f>Table810[[#This Row],[mrt]]-(Table810[[#This Row],[macc]]*1000)</f>
        <v>413.2206635</v>
      </c>
      <c r="P409" s="9">
        <f>(Table810[[#This Row],[prt]]-Table810[[#This Row],[grt]])</f>
        <v>19.191327000000001</v>
      </c>
      <c r="Q409" s="8">
        <f>Table810[[#This Row],[pacc]]-Table810[[#This Row],[gacc]]</f>
        <v>0</v>
      </c>
      <c r="R409" s="8">
        <f>Table810[[#This Row],[rt_pairing_score]]-Table810[[#This Row],[acc_pairing_score]]</f>
        <v>19.191327000000001</v>
      </c>
    </row>
    <row r="410" spans="1:18" x14ac:dyDescent="0.25">
      <c r="A410" t="s">
        <v>402</v>
      </c>
      <c r="B410" s="1">
        <v>1327.7234040000001</v>
      </c>
      <c r="C410" s="1">
        <v>358.25487049999998</v>
      </c>
      <c r="D410" s="1">
        <v>1</v>
      </c>
      <c r="E410" s="1">
        <v>0</v>
      </c>
      <c r="F410" s="1">
        <v>213</v>
      </c>
      <c r="G410" s="1">
        <v>1352.2608700000001</v>
      </c>
      <c r="H410" s="1">
        <v>356.49668439999999</v>
      </c>
      <c r="I410" s="1">
        <v>0.93617021300000003</v>
      </c>
      <c r="J410" s="1">
        <v>0.24709224799999999</v>
      </c>
      <c r="K410" s="1">
        <f>(B410+Table810[[#This Row],[grt]])/2</f>
        <v>1339.9921370000002</v>
      </c>
      <c r="L410" s="1">
        <f>(Table810[[#This Row],[prtsd]]+Table810[[#This Row],[grtsd]])/2</f>
        <v>357.37577744999999</v>
      </c>
      <c r="M410" s="1">
        <f>(Table810[[#This Row],[pacc]]+Table810[[#This Row],[gacc]])/2</f>
        <v>0.96808510650000001</v>
      </c>
      <c r="N410" s="1">
        <f>(Table810[[#This Row],[paccsd]]+Table810[[#This Row],[gaccsd]])/2</f>
        <v>0.12354612399999999</v>
      </c>
      <c r="O410">
        <f>Table810[[#This Row],[mrt]]-(Table810[[#This Row],[macc]]*1000)</f>
        <v>371.90703050000013</v>
      </c>
      <c r="P410" s="9">
        <f>(Table810[[#This Row],[prt]]-Table810[[#This Row],[grt]])</f>
        <v>-24.537465999999995</v>
      </c>
      <c r="Q410" s="8">
        <f>Table810[[#This Row],[pacc]]-Table810[[#This Row],[gacc]]</f>
        <v>6.3829786999999971E-2</v>
      </c>
      <c r="R410" s="8">
        <f>Table810[[#This Row],[rt_pairing_score]]-Table810[[#This Row],[acc_pairing_score]]</f>
        <v>-24.601295786999994</v>
      </c>
    </row>
    <row r="411" spans="1:18" x14ac:dyDescent="0.25">
      <c r="A411" t="s">
        <v>349</v>
      </c>
      <c r="B411" s="1">
        <v>1325.86</v>
      </c>
      <c r="C411" s="1">
        <v>312.8097166</v>
      </c>
      <c r="D411" s="1">
        <v>0.98</v>
      </c>
      <c r="E411" s="1">
        <v>0.141421356</v>
      </c>
      <c r="F411" s="1">
        <v>288</v>
      </c>
      <c r="G411" s="1">
        <v>1324.042553</v>
      </c>
      <c r="H411" s="1">
        <v>304.4528919</v>
      </c>
      <c r="I411" s="1">
        <v>0.97872340400000002</v>
      </c>
      <c r="J411" s="1">
        <v>0.145864991</v>
      </c>
      <c r="K411" s="1">
        <f>(B411+Table810[[#This Row],[grt]])/2</f>
        <v>1324.9512764999999</v>
      </c>
      <c r="L411" s="1">
        <f>(Table810[[#This Row],[prtsd]]+Table810[[#This Row],[grtsd]])/2</f>
        <v>308.63130424999997</v>
      </c>
      <c r="M411" s="1">
        <f>(Table810[[#This Row],[pacc]]+Table810[[#This Row],[gacc]])/2</f>
        <v>0.97936170200000006</v>
      </c>
      <c r="N411" s="1">
        <f>(Table810[[#This Row],[paccsd]]+Table810[[#This Row],[gaccsd]])/2</f>
        <v>0.1436431735</v>
      </c>
      <c r="O411">
        <f>Table810[[#This Row],[mrt]]-(Table810[[#This Row],[macc]]*1000)</f>
        <v>345.58957449999991</v>
      </c>
      <c r="P411" s="9">
        <f>(Table810[[#This Row],[prt]]-Table810[[#This Row],[grt]])</f>
        <v>1.8174469999999019</v>
      </c>
      <c r="Q411" s="8">
        <f>Table810[[#This Row],[pacc]]-Table810[[#This Row],[gacc]]</f>
        <v>1.2765959999999632E-3</v>
      </c>
      <c r="R411" s="8">
        <f>Table810[[#This Row],[rt_pairing_score]]-Table810[[#This Row],[acc_pairing_score]]</f>
        <v>1.816170403999902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  <Company>University of Cambridge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Georgia Bozianu</dc:creator>
  <cp:lastModifiedBy>Georgia Bozianu</cp:lastModifiedBy>
  <dcterms:created xsi:type="dcterms:W3CDTF">2025-05-28T14:08:19Z</dcterms:created>
  <dcterms:modified xsi:type="dcterms:W3CDTF">2026-07-21T14:04:03Z</dcterms:modified>
</cp:coreProperties>
</file>